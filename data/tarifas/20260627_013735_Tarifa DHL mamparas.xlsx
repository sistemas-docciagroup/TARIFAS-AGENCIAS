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fonsop\Desktop\TARIFAS DHL\"/>
    </mc:Choice>
  </mc:AlternateContent>
  <xr:revisionPtr revIDLastSave="0" documentId="13_ncr:1_{335C0464-2E0B-4852-B8AB-9D9CBF2D8CC4}" xr6:coauthVersionLast="47" xr6:coauthVersionMax="47" xr10:uidLastSave="{00000000-0000-0000-0000-000000000000}"/>
  <bookViews>
    <workbookView xWindow="0" yWindow="360" windowWidth="23256" windowHeight="12456" activeTab="1" xr2:uid="{A867C81F-57B7-48AA-B42F-2AD13E00BDAC}"/>
  </bookViews>
  <sheets>
    <sheet name="Portada" sheetId="1" r:id="rId1"/>
    <sheet name="CONDICIONES ESPECIALES" sheetId="2" r:id="rId2"/>
    <sheet name="VAS_B2BD" sheetId="4" r:id="rId3"/>
  </sheets>
  <externalReferences>
    <externalReference r:id="rId4"/>
  </externalReferences>
  <definedNames>
    <definedName name="ANDALUCIA">#REF!</definedName>
    <definedName name="_xlnm.Print_Area" localSheetId="1">'CONDICIONES ESPECIALES'!$A$1:$X$85</definedName>
    <definedName name="_xlnm.Print_Area" localSheetId="0">Portada!$A$1:$L$80</definedName>
    <definedName name="_xlnm.Print_Area" localSheetId="2">VAS_B2BD!$A$1:$E$42</definedName>
    <definedName name="B">#REF!</definedName>
    <definedName name="BAL">#REF!</definedName>
    <definedName name="BEN">#REF!</definedName>
    <definedName name="CL">#REF!</definedName>
    <definedName name="compe">#REF!</definedName>
    <definedName name="Competencia">#REF!</definedName>
    <definedName name="CONTRACT">#REF!</definedName>
    <definedName name="ContractCodeDOM">#REF!</definedName>
    <definedName name="ContractCodeIB">#REF!</definedName>
    <definedName name="ContractCodeOB">#REF!</definedName>
    <definedName name="ContractCodeTDDIB">#REF!</definedName>
    <definedName name="ContractCodeTDDOB">#REF!</definedName>
    <definedName name="contractslookup">#REF!</definedName>
    <definedName name="Country">#REF!</definedName>
    <definedName name="Countryname">#REF!</definedName>
    <definedName name="Currency">#REF!</definedName>
    <definedName name="Currencyname">#REF!</definedName>
    <definedName name="Customer_name">#REF!</definedName>
    <definedName name="Day_Definite_Value_Added_Services_and_Surcharges">#REF!</definedName>
    <definedName name="DDDOMCONTRACTS">#REF!</definedName>
    <definedName name="DDDOMVOLUMETRIC">#REF!</definedName>
    <definedName name="DDDOMZONING">#REF!</definedName>
    <definedName name="DDINTCONTRACTS">#REF!</definedName>
    <definedName name="DDINTVOLUMETRIC">#REF!</definedName>
    <definedName name="DDINTZONING">#REF!</definedName>
    <definedName name="ecxrates">#REF!</definedName>
    <definedName name="EU">#REF!</definedName>
    <definedName name="EUR">#REF!</definedName>
    <definedName name="Europlus_DOM">#REF!</definedName>
    <definedName name="Europlus_INT">#REF!</definedName>
    <definedName name="Europlus_International">#REF!</definedName>
    <definedName name="Expresser_Benelux_Pallet">#REF!</definedName>
    <definedName name="Expresser_Benelux_Parcel">#REF!</definedName>
    <definedName name="I">#REF!</definedName>
    <definedName name="ImportExpress12TC">#REF!</definedName>
    <definedName name="ImportExpress12TCDiscount">#REF!</definedName>
    <definedName name="IN">#REF!</definedName>
    <definedName name="MON">#REF!</definedName>
    <definedName name="MSP_Comparison">#REF!</definedName>
    <definedName name="NO">#REF!</definedName>
    <definedName name="PAIS">#REF!</definedName>
    <definedName name="Pickup_Location">#REF!</definedName>
    <definedName name="Printing">#REF!</definedName>
    <definedName name="Productline">#REF!</definedName>
    <definedName name="tariff">#REF!</definedName>
    <definedName name="Tariff_Expiry_Date">#REF!</definedName>
    <definedName name="TDD">#REF!</definedName>
    <definedName name="tdd12premiums">#REF!</definedName>
    <definedName name="tdd9premiums">#REF!</definedName>
    <definedName name="TDDD">#REF!</definedName>
    <definedName name="TDDOMADDER">#REF!</definedName>
    <definedName name="TDDOMCONTRACTS">#REF!</definedName>
    <definedName name="TDDOMVOLUMETRIC">#REF!</definedName>
    <definedName name="TDDOMZONING">#REF!</definedName>
    <definedName name="TDINTADDER">#REF!</definedName>
    <definedName name="TDINTCONTRACTS">#REF!</definedName>
    <definedName name="TDINTVOLUMETRIC">#REF!</definedName>
    <definedName name="TDINTZONING">#REF!</definedName>
    <definedName name="WEIGHTBREAKSLOOKUP">#REF!</definedName>
    <definedName name="ZONAS">#REF!</definedName>
    <definedName name="ZONING_DDDOM">#REF!</definedName>
    <definedName name="ZONING_DDINT">#REF!</definedName>
    <definedName name="ZONING_TDDOM">#REF!</definedName>
    <definedName name="ZONING_TDINT">#REF!</definedName>
    <definedName name="ZONINGLOOK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4" l="1"/>
  <c r="H84" i="2"/>
  <c r="C84" i="2"/>
  <c r="G78" i="2" s="1"/>
  <c r="X54" i="2"/>
  <c r="W54" i="2"/>
  <c r="G58" i="2"/>
  <c r="G57" i="2"/>
  <c r="H52" i="2"/>
  <c r="C50" i="2"/>
  <c r="D50" i="2" s="1"/>
  <c r="H49" i="2"/>
  <c r="C35" i="2"/>
  <c r="C34" i="2"/>
  <c r="C33" i="2"/>
  <c r="C32" i="2"/>
  <c r="C31" i="2"/>
  <c r="C30" i="2"/>
  <c r="C29" i="2"/>
  <c r="C28" i="2"/>
  <c r="C27" i="2"/>
  <c r="H22" i="2"/>
  <c r="G22" i="2"/>
  <c r="T13" i="2"/>
</calcChain>
</file>

<file path=xl/sharedStrings.xml><?xml version="1.0" encoding="utf-8"?>
<sst xmlns="http://schemas.openxmlformats.org/spreadsheetml/2006/main" count="277" uniqueCount="237">
  <si>
    <t>* Tiempos de tránsito estimados</t>
  </si>
  <si>
    <r>
      <t xml:space="preserve">DIMENSIONES </t>
    </r>
    <r>
      <rPr>
        <b/>
        <vertAlign val="superscript"/>
        <sz val="10"/>
        <rFont val="Calibri"/>
        <family val="2"/>
        <scheme val="minor"/>
      </rPr>
      <t>1</t>
    </r>
  </si>
  <si>
    <t>Min.: 15 x 11 x 3,5 cm</t>
  </si>
  <si>
    <t>Máx. bulto encintable: 120 x 60 x 60 cm</t>
  </si>
  <si>
    <t>Máx. palet: 120 x 120 x 180 cm</t>
  </si>
  <si>
    <t>PESO MÁXIMO</t>
  </si>
  <si>
    <t>Hasta 31,5 kgs para bultos no paletizados</t>
  </si>
  <si>
    <r>
      <t xml:space="preserve">Hasta 1.000 kgs para bultos paletizados </t>
    </r>
    <r>
      <rPr>
        <vertAlign val="superscript"/>
        <sz val="10"/>
        <rFont val="Calibri"/>
        <family val="2"/>
        <scheme val="minor"/>
      </rPr>
      <t>2</t>
    </r>
  </si>
  <si>
    <t>Hasta 5.000 kgs por envío</t>
  </si>
  <si>
    <t>BULTOS POR ENVIO</t>
  </si>
  <si>
    <t>Máx.: 999 bultos</t>
  </si>
  <si>
    <t>Máx.: 10 palets</t>
  </si>
  <si>
    <t>MERCANCÍA VOLUMINOSA</t>
  </si>
  <si>
    <t>Se considera mercancia voluminosa y es facturada como tal, aquella que no supera el ratio de 250 kilogramos por metro cúbico.</t>
  </si>
  <si>
    <r>
      <rPr>
        <vertAlign val="superscript"/>
        <sz val="8"/>
        <rFont val="Calibri"/>
        <family val="2"/>
        <scheme val="minor"/>
      </rPr>
      <t xml:space="preserve">1 </t>
    </r>
    <r>
      <rPr>
        <sz val="8"/>
        <rFont val="Calibri"/>
        <family val="2"/>
        <scheme val="minor"/>
      </rPr>
      <t xml:space="preserve"> Para dimensiones superiores consulte los suplementos.</t>
    </r>
  </si>
  <si>
    <r>
      <rPr>
        <vertAlign val="superscript"/>
        <sz val="8"/>
        <rFont val="Calibri"/>
        <family val="2"/>
        <scheme val="minor"/>
      </rPr>
      <t>2</t>
    </r>
    <r>
      <rPr>
        <sz val="8"/>
        <rFont val="Calibri"/>
        <family val="2"/>
        <scheme val="minor"/>
      </rPr>
      <t xml:space="preserve">  Los bultos que pesen más de 31,5 kg deben ser embalados en un contenedor que se pueda mover con medios mecánicos o estar paletizados y deben ser apilables.</t>
    </r>
  </si>
  <si>
    <t>DHL PARCEL EUROPLUS DOMÉSTICO</t>
  </si>
  <si>
    <t>OFERTA ECONÓMICA</t>
  </si>
  <si>
    <t>DATOS GENERALES CLIENTE</t>
  </si>
  <si>
    <t>,</t>
  </si>
  <si>
    <t>Nombre del Cliente</t>
  </si>
  <si>
    <t>Número de cuenta</t>
  </si>
  <si>
    <t>Persona de contacto</t>
  </si>
  <si>
    <t xml:space="preserve">Tarifas de Aplicación desde </t>
  </si>
  <si>
    <t xml:space="preserve"> a nivel Nacional / Peninsular </t>
  </si>
  <si>
    <t>Mapa de Aplicación de Tarifas desde</t>
  </si>
  <si>
    <t>MEDIDAS BULTOS</t>
  </si>
  <si>
    <t>Tipo Bulto / Pallet</t>
  </si>
  <si>
    <t>Peso real</t>
  </si>
  <si>
    <t>Largo                  (en metros)</t>
  </si>
  <si>
    <t>Alto                    (en metros)</t>
  </si>
  <si>
    <t>Ancho               (en metros)</t>
  </si>
  <si>
    <t>%envíos x tipo de bto./pallet</t>
  </si>
  <si>
    <t>Ratio volumétrico</t>
  </si>
  <si>
    <t>KV</t>
  </si>
  <si>
    <t>KV ponderado</t>
  </si>
  <si>
    <t>Tipo A</t>
  </si>
  <si>
    <t xml:space="preserve"> </t>
  </si>
  <si>
    <t>Tipo B</t>
  </si>
  <si>
    <t>Tipo C</t>
  </si>
  <si>
    <t>Tipo D</t>
  </si>
  <si>
    <t>Tota Kvol/bulto ponderado</t>
  </si>
  <si>
    <t>TARIFA ESPECIAL POR BULTO</t>
  </si>
  <si>
    <t>REEXPEDICIONES ESPECIALES</t>
  </si>
  <si>
    <t>% Seg</t>
  </si>
  <si>
    <t>€ x Kg</t>
  </si>
  <si>
    <t>Max./ envio</t>
  </si>
  <si>
    <t>Desde Bultos</t>
  </si>
  <si>
    <t>Hasta Bultos</t>
  </si>
  <si>
    <t>KILOS</t>
  </si>
  <si>
    <t xml:space="preserve"> Formentera, Andorra (*)</t>
  </si>
  <si>
    <t>Ceuta, Melilla, Gribraltar (*)</t>
  </si>
  <si>
    <t>el valor IPEM vigente</t>
  </si>
  <si>
    <t>1/3 del IPREM</t>
  </si>
  <si>
    <r>
      <t xml:space="preserve">% DTO. EN REEXPEDICION </t>
    </r>
    <r>
      <rPr>
        <b/>
        <vertAlign val="superscript"/>
        <sz val="12"/>
        <rFont val="Calibri"/>
        <family val="2"/>
        <scheme val="minor"/>
      </rPr>
      <t>1</t>
    </r>
    <r>
      <rPr>
        <b/>
        <sz val="12"/>
        <rFont val="Calibri"/>
        <family val="2"/>
        <scheme val="minor"/>
      </rPr>
      <t xml:space="preserve"> :</t>
    </r>
  </si>
  <si>
    <r>
      <t xml:space="preserve">% DTO. EN RECOGIDAS en OTRA PROVINCIA </t>
    </r>
    <r>
      <rPr>
        <b/>
        <vertAlign val="superscript"/>
        <sz val="12"/>
        <rFont val="Calibri"/>
        <family val="2"/>
        <scheme val="minor"/>
      </rPr>
      <t>2</t>
    </r>
    <r>
      <rPr>
        <b/>
        <sz val="12"/>
        <rFont val="Calibri"/>
        <family val="2"/>
        <scheme val="minor"/>
      </rPr>
      <t>:</t>
    </r>
  </si>
  <si>
    <r>
      <rPr>
        <vertAlign val="superscript"/>
        <sz val="12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Excepto las Reexp. Especiales a Andorra, Formentera, Ceuta, Melilla, Gibraltar e Interislas. Consultar tabla en siguiente hoja.</t>
    </r>
  </si>
  <si>
    <r>
      <rPr>
        <vertAlign val="superscript"/>
        <sz val="12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Descuento sobre portes de tarifa publicada de la provincia de origen, aplicable a envíos con recogida y entrega en provincias distintas de la del cliente</t>
    </r>
  </si>
  <si>
    <r>
      <rPr>
        <sz val="11"/>
        <rFont val="Calibri"/>
        <family val="2"/>
        <scheme val="minor"/>
      </rPr>
      <t xml:space="preserve">Se aplicará un </t>
    </r>
    <r>
      <rPr>
        <b/>
        <sz val="16"/>
        <color rgb="FFFF0000"/>
        <rFont val="Frutiger"/>
        <family val="2"/>
      </rPr>
      <t/>
    </r>
  </si>
  <si>
    <t xml:space="preserve">sobre el precio de los portes reflejados en la tarifa especial en concepto de mejora de cobertura de responsabilidad. </t>
  </si>
  <si>
    <t xml:space="preserve">Nuestra responsabilidad por daños, pérdidas o averías que sufran las mercancías está limitada hasta </t>
  </si>
  <si>
    <t xml:space="preserve">con un máximo de  </t>
  </si>
  <si>
    <r>
      <t>SUPLEMENTO POR COMBUSTIBLE</t>
    </r>
    <r>
      <rPr>
        <sz val="12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Y EXTRACARGOS NO INCLUIDOS.</t>
    </r>
  </si>
  <si>
    <r>
      <t>MERCANCÍAS VOLUMINOSAS:</t>
    </r>
    <r>
      <rPr>
        <sz val="12"/>
        <rFont val="Calibri"/>
        <family val="2"/>
        <scheme val="minor"/>
      </rPr>
      <t xml:space="preserve"> E</t>
    </r>
    <r>
      <rPr>
        <sz val="11"/>
        <rFont val="Calibri"/>
        <family val="2"/>
        <scheme val="minor"/>
      </rPr>
      <t xml:space="preserve">n los tráficos de salidas se aplicará la medida correctora de </t>
    </r>
    <r>
      <rPr>
        <b/>
        <sz val="14"/>
        <color indexed="10"/>
        <rFont val="Frutiger"/>
        <family val="2"/>
      </rPr>
      <t/>
    </r>
  </si>
  <si>
    <t xml:space="preserve">, excepto a Canarias vía aérea, donde se considerará </t>
  </si>
  <si>
    <t>el ratio de 200 kilos por metro cúbico.</t>
  </si>
  <si>
    <r>
      <t>MÍNIMOS DE PERCEPCIÓN</t>
    </r>
    <r>
      <rPr>
        <sz val="12"/>
        <rFont val="Calibri"/>
        <family val="2"/>
        <scheme val="minor"/>
      </rPr>
      <t xml:space="preserve">:  </t>
    </r>
    <r>
      <rPr>
        <sz val="11"/>
        <rFont val="Calibri"/>
        <family val="2"/>
        <scheme val="minor"/>
      </rPr>
      <t>El importe de cualquier fracción será siempre superior al de su anterior en kilogramos.</t>
    </r>
  </si>
  <si>
    <t>VOLUMEN MÍNIMO DE NEGOCIO</t>
  </si>
  <si>
    <t>Envios /mes:</t>
  </si>
  <si>
    <t>Facturación /mes:</t>
  </si>
  <si>
    <t>FORMA DE PAGO:</t>
  </si>
  <si>
    <t>€ adicional por cada 100 kg</t>
  </si>
  <si>
    <r>
      <t xml:space="preserve">VALIDEZ DE LAS CONDICIONES ECONÓMICAS </t>
    </r>
    <r>
      <rPr>
        <b/>
        <vertAlign val="superscript"/>
        <sz val="12"/>
        <rFont val="Calibri"/>
        <family val="2"/>
        <scheme val="minor"/>
      </rPr>
      <t>3</t>
    </r>
    <r>
      <rPr>
        <b/>
        <sz val="12"/>
        <rFont val="Calibri"/>
        <family val="2"/>
        <scheme val="minor"/>
      </rPr>
      <t>:</t>
    </r>
  </si>
  <si>
    <t>Desde:</t>
  </si>
  <si>
    <t>Hasta:</t>
  </si>
  <si>
    <t>Publicación de la nueva tarifa</t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</si>
  <si>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Las tarifas se basan en el volumen y perfil de envios proporcionados por el Cliente con anterioridad a este acuerdo. En el supuesto de un recorte de los volúmenes previstos (de alguno o todos los productos) de más del 25% en tres (3) meses consecutivos, o un cambio sustancia en el volumen, peso o destino de los envios, DHL se reserva el derecho a ajustar las tarifas con un preaviso de un (1) mes notificado por escrito.</t>
    </r>
  </si>
  <si>
    <t>A menos que se especifique otra cosa, las tarifas son válidas para los servicios durante el horario operativo estándar designado por DHL y deben excluirse festivos y fines de semana.</t>
  </si>
  <si>
    <t xml:space="preserve">En el caso de que la tasa de inflación exceda el 8%, DHL tendrá el derecho a aplicar un extracargo temporal de inflación con un aviso previo de 30 días, que será aplicable hasta la siguiente revisión de precios. </t>
  </si>
  <si>
    <t>Las tarifas se actualizarán de acuerdo con la subida general de precios ("GPI") de DHL</t>
  </si>
  <si>
    <t xml:space="preserve">Recargos gubernamentales y regulatorios: Cualquier modificación en la legislación vigente y/o decisiones de organizaciones gubernamentales que supongan un aumento de costes </t>
  </si>
  <si>
    <t>para DHL serán repercutidos al Cliente en la proporción correspondiente, con un preaviso escrito de treinta (30) días.</t>
  </si>
  <si>
    <t xml:space="preserve">Situaciones de emergencia: DHL se reserva el derecho a aplicar un suplemento de emergencia para recuperar costes derivados de situaciones temporales de emergencia </t>
  </si>
  <si>
    <t xml:space="preserve">que están fuera del control de DHL y que no hayan podido ser previstas a la firma de este acuerdo. Estos recargos serán temporales y se aplicarán con carácter adicional a la tarifa. </t>
  </si>
  <si>
    <t>El Cliente recibirá un preaviso de ocho (8) días a través de la página web si se diera un recargo de emergencia, describiendo las razones de dicho recargo.</t>
  </si>
  <si>
    <t>Con la firma de este acuerdo se aceptan los Servicios de Valor Añadido y Suplementos, así como las Consideraciones Específicas del Producto.</t>
  </si>
  <si>
    <t>Se aplicarán los Términos y Condiciones de DHL eCommerce que están disponibles en la página web www.dhlecommerce.es, que el cliente manifiesta conocer y aceptar.</t>
  </si>
  <si>
    <t>Esta oferta tiene una validez de 3 meses desde la fecha de su presentación, hasta el:</t>
  </si>
  <si>
    <t>ACUERDO</t>
  </si>
  <si>
    <t>Conforme Cliente</t>
  </si>
  <si>
    <t xml:space="preserve">Conforme DHL </t>
  </si>
  <si>
    <t>Nombre:</t>
  </si>
  <si>
    <t>Fecha:</t>
  </si>
  <si>
    <t>Firma:</t>
  </si>
  <si>
    <t>ZONA 1</t>
  </si>
  <si>
    <t>ZONA 2</t>
  </si>
  <si>
    <t>ZONA 3</t>
  </si>
  <si>
    <t>ZONA 4</t>
  </si>
  <si>
    <t>ZONA 5</t>
  </si>
  <si>
    <t>ZONA 6</t>
  </si>
  <si>
    <t>ZONA 7</t>
  </si>
  <si>
    <t>ZONA 8</t>
  </si>
  <si>
    <t>ZONA 9</t>
  </si>
  <si>
    <t>ZONA 10</t>
  </si>
  <si>
    <t xml:space="preserve">DHL PARCEL EUROPLUS DOMÉSTICO </t>
  </si>
  <si>
    <t>SERVICIOS DE VALOR AÑADIDO Y SUPLEMENTOS</t>
  </si>
  <si>
    <t>SERVICIOS DE VALOR AÑADIDO</t>
  </si>
  <si>
    <t xml:space="preserve">Servicio </t>
  </si>
  <si>
    <t>Definición</t>
  </si>
  <si>
    <t>Precios 2026</t>
  </si>
  <si>
    <t>SEGURO A TODO RIESGO</t>
  </si>
  <si>
    <t>Opción de asegurar los envíos mediante un Seguro a Todo Riesgo</t>
  </si>
  <si>
    <t>1% del valor declarado</t>
  </si>
  <si>
    <t>Valor Máximo por envío
100.000 €</t>
  </si>
  <si>
    <t>Prima mínima por envío
6,00 €</t>
  </si>
  <si>
    <t xml:space="preserve">  ADUANAS</t>
  </si>
  <si>
    <t>Gestión Aduanera a Ceuta, Melilla, Gibraltar y Andorra</t>
  </si>
  <si>
    <t>Gestión Aduanera a Canarias</t>
  </si>
  <si>
    <t>Gestión aduanera de exportación a Canarias con T2LF y 
valor de mercancía inferior a 6.000€</t>
  </si>
  <si>
    <t>ADMINISTRACIÓN TASAS ADUANAS</t>
  </si>
  <si>
    <t>Cargo en concepto de reversión a origen de gastos de aduanas generados en destino</t>
  </si>
  <si>
    <t>SERVICIO CONTRA-REEMBOLSO</t>
  </si>
  <si>
    <t>Pago contra-reembolso de sus mercancías</t>
  </si>
  <si>
    <t>5% del valor declarado</t>
  </si>
  <si>
    <t>Valor Máximo por envío: 5.000 €</t>
  </si>
  <si>
    <t>Destino ES: Min  4,5 € Máx 150,00 €</t>
  </si>
  <si>
    <t>Destino PT: Min 15,00 € Máx 150,00 €</t>
  </si>
  <si>
    <t xml:space="preserve">DEVOLUCIÓN DE ALBARANES FIRMADOS POR EL DESTINATARIO </t>
  </si>
  <si>
    <t>Devolución de sus propios albaranes firmados por el destinatario</t>
  </si>
  <si>
    <t>TERCER INTENTO DE ENTREGA</t>
  </si>
  <si>
    <t xml:space="preserve">DHL realiza hasta tres intentos de entrega de sus mercancías si por causas ajenas no se pudiera entregar a la llegada del vehículo a destino </t>
  </si>
  <si>
    <t>Tarifa de reexpedición</t>
  </si>
  <si>
    <r>
      <t xml:space="preserve">RECOGIDA NO ESTÁNDAR </t>
    </r>
    <r>
      <rPr>
        <vertAlign val="superscript"/>
        <sz val="11"/>
        <rFont val="Calibri"/>
        <family val="2"/>
        <scheme val="minor"/>
      </rPr>
      <t>1</t>
    </r>
  </si>
  <si>
    <t>Servicio de recogida en sábados o fuera del horario habitual, con un suplemento por recogida</t>
  </si>
  <si>
    <t>Consulte con su gestor comercial</t>
  </si>
  <si>
    <t>RECOGIDA EN OTRA PROVINCIA</t>
  </si>
  <si>
    <t>Servicio de recogida en un origen distinto al de su ubicación habitual, con un suplemento por recogida</t>
  </si>
  <si>
    <t xml:space="preserve">SERVICIO PRE 13:30 </t>
  </si>
  <si>
    <t>Servicio de entregas garantizadas antes de las 13:30 pm del día hábil siguiente a su recogida.  Disponible para ciertos códigos postales con  origen y destino España</t>
  </si>
  <si>
    <t>30% sobre porte neto</t>
  </si>
  <si>
    <t xml:space="preserve">    SUPLEMENTOS</t>
  </si>
  <si>
    <t>Suplemento</t>
  </si>
  <si>
    <t>Precios 2025</t>
  </si>
  <si>
    <t>SUPLEMENTO POR COMBUSTIBLE</t>
  </si>
  <si>
    <t>% Variable que se aplica sobre la facturación total de "Portes+Re-expedición" para compensar la fluctuación de los precios del gasóleo</t>
  </si>
  <si>
    <t>Según % mensual aplicable, actualizado en  www.dhlparcel.es</t>
  </si>
  <si>
    <t>BULTO NO CINTABLE</t>
  </si>
  <si>
    <r>
      <t>Aplicable a bultos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con peso hasta 31 kg y con alguna de sus dimensiones superior a 120 x 60 x 60 cm, o que por sus características requieran de clasificación manual</t>
    </r>
    <r>
      <rPr>
        <vertAlign val="superscript"/>
        <sz val="11"/>
        <rFont val="Calibri"/>
        <family val="2"/>
        <scheme val="minor"/>
      </rPr>
      <t>3</t>
    </r>
  </si>
  <si>
    <t>1,20€ por bulto</t>
  </si>
  <si>
    <t>PALLET NO ESTÁNDAR</t>
  </si>
  <si>
    <r>
      <t>Aplicable a envíos con algún bulto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con peso superior a 31 kg cuando alguna de sus dimensiones sea superior a 120x120x180 cm o no estén paletizados o no sean apilables.</t>
    </r>
  </si>
  <si>
    <t>30% sobre porte neto
Mínimo 10€</t>
  </si>
  <si>
    <t>BULTO LARGO O VOLUMINOSO</t>
  </si>
  <si>
    <t>Aplicable a envíos con alguna de sus dimensiones superior a 180 cm o cuando el volumen del envío sea superior a 0,5 metros cúbicos.</t>
  </si>
  <si>
    <t>ENVÍO CON EXCESO DE PESO</t>
  </si>
  <si>
    <t>Aplicable a envíos de más de 1.000 kgs</t>
  </si>
  <si>
    <r>
      <t xml:space="preserve">MD3 </t>
    </r>
    <r>
      <rPr>
        <vertAlign val="superscript"/>
        <sz val="11"/>
        <rFont val="Calibri"/>
        <family val="2"/>
        <scheme val="minor"/>
      </rPr>
      <t xml:space="preserve"> 1</t>
    </r>
  </si>
  <si>
    <t>Aplicable a envíos en los que uno de sus bultos tenga una medida superior a los 3 metros</t>
  </si>
  <si>
    <t>30% sobre porte neto
Mínimo 75€</t>
  </si>
  <si>
    <t>ENTREGA EN GRANDES SUPERFICIES (G.S)</t>
  </si>
  <si>
    <t>Aplicable a envíos entregados en GS que requieran gestión adicional de cita concertada, largo tiempo de entrega, etc</t>
  </si>
  <si>
    <t>10% sobre porte neto
Mínimo 3,5 €</t>
  </si>
  <si>
    <t>BAJA DENSIDAD</t>
  </si>
  <si>
    <t>Aplicable a envíos entregados en áreas remotas. Consultar códigos postales sujetos en www.dhlparcel.es</t>
  </si>
  <si>
    <t>20% sobre porte neto
Mínimo 3,5€</t>
  </si>
  <si>
    <t>REEXPEDICIÓN</t>
  </si>
  <si>
    <t>Aplicable a envíos entregados en una localidad distinta a la capital de provincia. Consultar localidades exentas en www.dhlparcel.es</t>
  </si>
  <si>
    <t>SUPLEMENTO MARÍTIMO (IMO 2020)</t>
  </si>
  <si>
    <t>Aplicable a envíos en los que el transporte o parte del mismo se realice por vía marítima</t>
  </si>
  <si>
    <t>Consultar tarifa aplicable en www.dhlecommerce.es</t>
  </si>
  <si>
    <t>PLATAFORMA FACTURACIÓN CLIENTES</t>
  </si>
  <si>
    <t>Servicio de envío de facturas de DHL a plataformas externas de clientes, no compatible con nuestro servicio E-billing</t>
  </si>
  <si>
    <t>1€ por factura</t>
  </si>
  <si>
    <t>DOCUMENTACION MANUAL</t>
  </si>
  <si>
    <t>Aplicable a envíos documentados con albaranes manuales que no se generan a través de nuestros sistemas informáticos</t>
  </si>
  <si>
    <t>1,00€ por la primera pieza, más 0,25€ por pieza adicional2</t>
  </si>
  <si>
    <r>
      <rPr>
        <vertAlign val="superscript"/>
        <sz val="11"/>
        <rFont val="Calibri"/>
        <family val="2"/>
        <scheme val="minor"/>
      </rPr>
      <t xml:space="preserve">1 </t>
    </r>
    <r>
      <rPr>
        <sz val="11"/>
        <rFont val="Calibri"/>
        <family val="2"/>
        <scheme val="minor"/>
      </rPr>
      <t>Sujeto a disponibilidad del servicio. En cualquier caso, DHL eCommerce no transportará bultos2 con alguna dimensión superior a 4 metros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</si>
  <si>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Bultos o pallets</t>
    </r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</si>
  <si>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La mercancía deberá estar embalada de acuerdo con la Guía de Embalaje de DHL
eCommerce, disponible en www.dhlecommerce.es</t>
    </r>
  </si>
  <si>
    <t>Sevilla</t>
  </si>
  <si>
    <t>MAMPARAS DOCCIA, SL</t>
  </si>
  <si>
    <t>Alava</t>
  </si>
  <si>
    <t>Burgos</t>
  </si>
  <si>
    <t>Castellón</t>
  </si>
  <si>
    <t>Córdoba</t>
  </si>
  <si>
    <t>León</t>
  </si>
  <si>
    <t>Huelva</t>
  </si>
  <si>
    <t>Palencia</t>
  </si>
  <si>
    <t>Cádiz</t>
  </si>
  <si>
    <t>Soria</t>
  </si>
  <si>
    <t>Málaga</t>
  </si>
  <si>
    <t>Teruel</t>
  </si>
  <si>
    <t>Jaén</t>
  </si>
  <si>
    <t>Zaragoza</t>
  </si>
  <si>
    <t>Granada</t>
  </si>
  <si>
    <t>Almería</t>
  </si>
  <si>
    <t>Ciudad Real</t>
  </si>
  <si>
    <t>Badajoz</t>
  </si>
  <si>
    <t>Barcelona</t>
  </si>
  <si>
    <t>Caceres</t>
  </si>
  <si>
    <t>Guipuzcoa</t>
  </si>
  <si>
    <t>La Rioja</t>
  </si>
  <si>
    <t>Navarra</t>
  </si>
  <si>
    <t>Albacete</t>
  </si>
  <si>
    <t>Tarragona</t>
  </si>
  <si>
    <t>Alicante</t>
  </si>
  <si>
    <t>Ávila</t>
  </si>
  <si>
    <t>Cuenca</t>
  </si>
  <si>
    <t>(Baleares)</t>
  </si>
  <si>
    <t>Guadalajara</t>
  </si>
  <si>
    <t>Palma</t>
  </si>
  <si>
    <t>Madrid</t>
  </si>
  <si>
    <t>Mahon</t>
  </si>
  <si>
    <t>Murcia</t>
  </si>
  <si>
    <t>Ibiza</t>
  </si>
  <si>
    <t>Salamanca</t>
  </si>
  <si>
    <t>Segovia</t>
  </si>
  <si>
    <t>Toledo</t>
  </si>
  <si>
    <t>Valladolid</t>
  </si>
  <si>
    <t>Valencia</t>
  </si>
  <si>
    <t>Zamora</t>
  </si>
  <si>
    <t>Asturias</t>
  </si>
  <si>
    <t>Cantabria</t>
  </si>
  <si>
    <t>Gerona</t>
  </si>
  <si>
    <t>Huesca</t>
  </si>
  <si>
    <t>La Coruña</t>
  </si>
  <si>
    <t>Lerida</t>
  </si>
  <si>
    <t>Lugo</t>
  </si>
  <si>
    <t>Orense</t>
  </si>
  <si>
    <t>Pontevedra</t>
  </si>
  <si>
    <t>Portugal</t>
  </si>
  <si>
    <t>Vizcaya</t>
  </si>
  <si>
    <t>15261-17642-17244</t>
  </si>
  <si>
    <t>10% DTO. Según % mensual aplicable, actualizado en  www.dhlparcel.es</t>
  </si>
  <si>
    <t>Destino ES: Min  1,80 € Máx 60,10 €</t>
  </si>
  <si>
    <t>Destino PT: Min 1,80 € Máx 60,10 €</t>
  </si>
  <si>
    <t>EXENTO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</si>
</sst>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General_)"/>
    <numFmt numFmtId="165" formatCode="#,##0\ &quot;kg/m3&quot;"/>
    <numFmt numFmtId="166" formatCode="#,##0.00\ &quot;€ por kilo transportado&quot;"/>
    <numFmt numFmtId="167" formatCode="#,##0.00\ &quot;€&quot;"/>
    <numFmt numFmtId="168" formatCode="#,##0\ &quot;kg&quot;"/>
    <numFmt numFmtId="169" formatCode="[$-C0A]d\ &quot;de&quot;\ mmmm\ &quot;de&quot;\ yyyy;@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C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0"/>
      <name val="Calibri"/>
      <family val="2"/>
    </font>
    <font>
      <b/>
      <sz val="10"/>
      <name val="Arial"/>
      <family val="2"/>
    </font>
    <font>
      <sz val="18"/>
      <color rgb="FFC00000"/>
      <name val="Frutiger 55 Roman"/>
      <family val="2"/>
    </font>
    <font>
      <b/>
      <sz val="30"/>
      <color rgb="FFC00000"/>
      <name val="Frutiger 57 Cn"/>
      <family val="3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 CE"/>
      <charset val="238"/>
    </font>
    <font>
      <b/>
      <sz val="10"/>
      <name val="Delivery"/>
      <family val="2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7"/>
      <name val="Calibri"/>
      <family val="2"/>
      <scheme val="minor"/>
    </font>
    <font>
      <sz val="6"/>
      <name val="Calibri"/>
      <family val="2"/>
      <scheme val="minor"/>
    </font>
    <font>
      <sz val="6"/>
      <name val="Cambria"/>
      <family val="2"/>
      <scheme val="major"/>
    </font>
    <font>
      <b/>
      <sz val="14"/>
      <name val="Calibri"/>
      <family val="2"/>
      <scheme val="minor"/>
    </font>
    <font>
      <sz val="24"/>
      <color rgb="FFD40511"/>
      <name val="Calibri"/>
      <family val="2"/>
      <scheme val="minor"/>
    </font>
    <font>
      <b/>
      <sz val="22"/>
      <color rgb="FFD40511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26"/>
      <name val="Calibri"/>
      <family val="2"/>
      <scheme val="minor"/>
    </font>
    <font>
      <sz val="22"/>
      <color rgb="FFD405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9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Delivery"/>
      <family val="2"/>
    </font>
    <font>
      <b/>
      <sz val="10"/>
      <color indexed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Arial"/>
      <family val="2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vertAlign val="superscript"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vertAlign val="superscript"/>
      <sz val="12"/>
      <name val="Calibri"/>
      <family val="2"/>
      <scheme val="minor"/>
    </font>
    <font>
      <b/>
      <sz val="16"/>
      <color rgb="FFFF0000"/>
      <name val="Frutiger"/>
      <family val="2"/>
    </font>
    <font>
      <b/>
      <sz val="12"/>
      <color indexed="10"/>
      <name val="Calibri"/>
      <family val="2"/>
      <scheme val="minor"/>
    </font>
    <font>
      <b/>
      <sz val="14"/>
      <color indexed="10"/>
      <name val="Frutiger"/>
      <family val="2"/>
    </font>
    <font>
      <b/>
      <sz val="7"/>
      <name val="Delivery"/>
      <family val="2"/>
    </font>
    <font>
      <b/>
      <sz val="9"/>
      <name val="Delivery"/>
      <family val="2"/>
    </font>
    <font>
      <b/>
      <i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12"/>
      <color indexed="12"/>
      <name val="Calibri"/>
      <family val="2"/>
      <scheme val="minor"/>
    </font>
    <font>
      <sz val="12"/>
      <color indexed="10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24"/>
      <color rgb="FFD40511"/>
      <name val="Calibri"/>
      <family val="2"/>
      <scheme val="minor"/>
    </font>
    <font>
      <b/>
      <sz val="24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gradientFill degree="270">
        <stop position="0">
          <color theme="0"/>
        </stop>
        <stop position="1">
          <color rgb="FFFFCC00"/>
        </stop>
      </gradient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gradientFill degree="270">
        <stop position="0">
          <color rgb="FFFFCC00"/>
        </stop>
        <stop position="1">
          <color rgb="FFFFCC00"/>
        </stop>
      </gradientFill>
    </fill>
    <fill>
      <gradientFill degree="90">
        <stop position="0">
          <color theme="0"/>
        </stop>
        <stop position="1">
          <color rgb="FFFFCC00"/>
        </stop>
      </gradientFill>
    </fill>
    <fill>
      <patternFill patternType="solid">
        <fgColor theme="0"/>
        <bgColor indexed="64"/>
      </patternFill>
    </fill>
    <fill>
      <patternFill patternType="solid">
        <fgColor rgb="FFFFEA8F"/>
        <bgColor indexed="64"/>
      </patternFill>
    </fill>
    <fill>
      <patternFill patternType="solid">
        <fgColor rgb="FFEAEAEA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 style="medium">
        <color rgb="FFFFC000"/>
      </bottom>
      <diagonal/>
    </border>
    <border>
      <left/>
      <right/>
      <top/>
      <bottom style="thin">
        <color indexed="64"/>
      </bottom>
      <diagonal/>
    </border>
    <border>
      <left style="thin">
        <color rgb="FFFFCC00"/>
      </left>
      <right style="thin">
        <color rgb="FFFFCC00"/>
      </right>
      <top style="thin">
        <color rgb="FFFFCC00"/>
      </top>
      <bottom style="medium">
        <color rgb="FFFFCC00"/>
      </bottom>
      <diagonal/>
    </border>
    <border>
      <left style="thin">
        <color rgb="FFFFCC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C00"/>
      </right>
      <top/>
      <bottom style="thin">
        <color rgb="FFFFC000"/>
      </bottom>
      <diagonal/>
    </border>
    <border>
      <left style="thin">
        <color rgb="FFFFCC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C00"/>
      </right>
      <top style="thin">
        <color rgb="FFFFC000"/>
      </top>
      <bottom style="thin">
        <color rgb="FFFFC000"/>
      </bottom>
      <diagonal/>
    </border>
    <border>
      <left style="thin">
        <color rgb="FFFFCC00"/>
      </left>
      <right style="thin">
        <color rgb="FFFFC000"/>
      </right>
      <top style="thin">
        <color rgb="FFFFC000"/>
      </top>
      <bottom style="thin">
        <color rgb="FFFFCC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C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 style="thin">
        <color rgb="FFFFCC00"/>
      </right>
      <top style="thin">
        <color rgb="FFFFC000"/>
      </top>
      <bottom style="thin">
        <color rgb="FFFFCC00"/>
      </bottom>
      <diagonal/>
    </border>
    <border>
      <left/>
      <right/>
      <top style="thin">
        <color rgb="FFFFCC00"/>
      </top>
      <bottom/>
      <diagonal/>
    </border>
    <border>
      <left/>
      <right style="medium">
        <color rgb="FFFFC000"/>
      </right>
      <top style="thin">
        <color rgb="FFFFCC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9"/>
      </left>
      <right/>
      <top style="thin">
        <color indexed="9"/>
      </top>
      <bottom style="thin">
        <color theme="0" tint="-0.24994659260841701"/>
      </bottom>
      <diagonal/>
    </border>
    <border>
      <left/>
      <right/>
      <top style="thin">
        <color indexed="9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medium">
        <color rgb="FFC00000"/>
      </bottom>
      <diagonal/>
    </border>
    <border>
      <left style="thin">
        <color indexed="9"/>
      </left>
      <right/>
      <top/>
      <bottom style="medium">
        <color rgb="FFC00000"/>
      </bottom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12" fillId="0" borderId="0"/>
    <xf numFmtId="0" fontId="1" fillId="0" borderId="0"/>
    <xf numFmtId="0" fontId="1" fillId="0" borderId="0"/>
    <xf numFmtId="0" fontId="3" fillId="0" borderId="0"/>
    <xf numFmtId="0" fontId="3" fillId="0" borderId="0"/>
  </cellStyleXfs>
  <cellXfs count="243">
    <xf numFmtId="0" fontId="0" fillId="0" borderId="0" xfId="0"/>
    <xf numFmtId="0" fontId="3" fillId="2" borderId="0" xfId="2" applyFill="1"/>
    <xf numFmtId="0" fontId="4" fillId="2" borderId="0" xfId="2" applyFont="1" applyFill="1"/>
    <xf numFmtId="9" fontId="3" fillId="2" borderId="0" xfId="2" applyNumberFormat="1" applyFill="1"/>
    <xf numFmtId="0" fontId="3" fillId="0" borderId="0" xfId="2"/>
    <xf numFmtId="0" fontId="3" fillId="3" borderId="0" xfId="2" applyFill="1"/>
    <xf numFmtId="0" fontId="3" fillId="4" borderId="0" xfId="2" applyFill="1"/>
    <xf numFmtId="0" fontId="5" fillId="4" borderId="0" xfId="2" applyFont="1" applyFill="1" applyAlignment="1">
      <alignment vertical="top"/>
    </xf>
    <xf numFmtId="0" fontId="5" fillId="4" borderId="0" xfId="2" applyFont="1" applyFill="1"/>
    <xf numFmtId="0" fontId="7" fillId="0" borderId="0" xfId="2" applyFont="1"/>
    <xf numFmtId="0" fontId="8" fillId="0" borderId="0" xfId="2" applyFont="1" applyAlignment="1">
      <alignment vertical="center"/>
    </xf>
    <xf numFmtId="0" fontId="9" fillId="0" borderId="0" xfId="2" applyFont="1"/>
    <xf numFmtId="0" fontId="10" fillId="0" borderId="0" xfId="2" applyFont="1"/>
    <xf numFmtId="0" fontId="11" fillId="0" borderId="0" xfId="2" applyFont="1"/>
    <xf numFmtId="14" fontId="7" fillId="0" borderId="0" xfId="2" applyNumberFormat="1" applyFont="1"/>
    <xf numFmtId="0" fontId="13" fillId="4" borderId="0" xfId="3" applyFont="1" applyFill="1"/>
    <xf numFmtId="0" fontId="13" fillId="4" borderId="0" xfId="3" applyFont="1" applyFill="1" applyAlignment="1">
      <alignment vertical="center"/>
    </xf>
    <xf numFmtId="0" fontId="9" fillId="0" borderId="0" xfId="2" applyFont="1" applyAlignment="1">
      <alignment vertical="top"/>
    </xf>
    <xf numFmtId="0" fontId="9" fillId="0" borderId="1" xfId="2" applyFont="1" applyBorder="1"/>
    <xf numFmtId="0" fontId="15" fillId="0" borderId="0" xfId="2" applyFont="1" applyAlignment="1">
      <alignment horizontal="left" vertical="center"/>
    </xf>
    <xf numFmtId="0" fontId="15" fillId="0" borderId="1" xfId="2" applyFont="1" applyBorder="1" applyAlignment="1">
      <alignment horizontal="left" vertical="center"/>
    </xf>
    <xf numFmtId="0" fontId="15" fillId="0" borderId="0" xfId="2" applyFont="1"/>
    <xf numFmtId="0" fontId="17" fillId="0" borderId="0" xfId="2" applyFont="1" applyAlignment="1">
      <alignment vertical="center"/>
    </xf>
    <xf numFmtId="0" fontId="19" fillId="0" borderId="0" xfId="2" applyFont="1" applyAlignment="1">
      <alignment vertical="center"/>
    </xf>
    <xf numFmtId="0" fontId="19" fillId="0" borderId="0" xfId="2" applyFont="1"/>
    <xf numFmtId="0" fontId="20" fillId="0" borderId="0" xfId="2" applyFont="1"/>
    <xf numFmtId="0" fontId="21" fillId="0" borderId="0" xfId="2" applyFont="1"/>
    <xf numFmtId="0" fontId="22" fillId="0" borderId="0" xfId="2" applyFont="1"/>
    <xf numFmtId="0" fontId="15" fillId="4" borderId="0" xfId="2" applyFont="1" applyFill="1"/>
    <xf numFmtId="0" fontId="10" fillId="4" borderId="0" xfId="3" applyFont="1" applyFill="1"/>
    <xf numFmtId="0" fontId="10" fillId="4" borderId="0" xfId="3" applyFont="1" applyFill="1" applyAlignment="1">
      <alignment vertical="center"/>
    </xf>
    <xf numFmtId="0" fontId="23" fillId="2" borderId="0" xfId="2" applyFont="1" applyFill="1" applyAlignment="1">
      <alignment vertical="center"/>
    </xf>
    <xf numFmtId="164" fontId="24" fillId="2" borderId="0" xfId="2" applyNumberFormat="1" applyFont="1" applyFill="1"/>
    <xf numFmtId="164" fontId="25" fillId="2" borderId="0" xfId="2" applyNumberFormat="1" applyFont="1" applyFill="1"/>
    <xf numFmtId="0" fontId="10" fillId="2" borderId="0" xfId="3" applyFont="1" applyFill="1"/>
    <xf numFmtId="0" fontId="26" fillId="2" borderId="0" xfId="3" applyFont="1" applyFill="1"/>
    <xf numFmtId="0" fontId="27" fillId="2" borderId="0" xfId="2" applyFont="1" applyFill="1" applyAlignment="1">
      <alignment vertical="center"/>
    </xf>
    <xf numFmtId="0" fontId="26" fillId="0" borderId="0" xfId="3" applyFont="1"/>
    <xf numFmtId="9" fontId="10" fillId="2" borderId="0" xfId="3" applyNumberFormat="1" applyFont="1" applyFill="1"/>
    <xf numFmtId="14" fontId="10" fillId="2" borderId="0" xfId="3" applyNumberFormat="1" applyFont="1" applyFill="1"/>
    <xf numFmtId="0" fontId="28" fillId="2" borderId="0" xfId="3" applyFont="1" applyFill="1"/>
    <xf numFmtId="0" fontId="28" fillId="0" borderId="0" xfId="3" applyFont="1"/>
    <xf numFmtId="0" fontId="15" fillId="0" borderId="0" xfId="2" applyFont="1" applyAlignment="1">
      <alignment vertical="top"/>
    </xf>
    <xf numFmtId="0" fontId="29" fillId="3" borderId="3" xfId="3" applyFont="1" applyFill="1" applyBorder="1" applyAlignment="1">
      <alignment vertical="top"/>
    </xf>
    <xf numFmtId="0" fontId="10" fillId="3" borderId="0" xfId="3" applyFont="1" applyFill="1" applyAlignment="1">
      <alignment vertical="top"/>
    </xf>
    <xf numFmtId="0" fontId="28" fillId="3" borderId="0" xfId="3" applyFont="1" applyFill="1" applyAlignment="1">
      <alignment vertical="top"/>
    </xf>
    <xf numFmtId="9" fontId="28" fillId="3" borderId="0" xfId="3" applyNumberFormat="1" applyFont="1" applyFill="1" applyAlignment="1">
      <alignment vertical="top"/>
    </xf>
    <xf numFmtId="0" fontId="29" fillId="3" borderId="0" xfId="3" applyFont="1" applyFill="1" applyAlignment="1">
      <alignment vertical="top"/>
    </xf>
    <xf numFmtId="0" fontId="28" fillId="0" borderId="0" xfId="3" applyFont="1" applyAlignment="1">
      <alignment vertical="top"/>
    </xf>
    <xf numFmtId="164" fontId="30" fillId="0" borderId="4" xfId="2" applyNumberFormat="1" applyFont="1" applyBorder="1" applyAlignment="1">
      <alignment vertical="center"/>
    </xf>
    <xf numFmtId="49" fontId="31" fillId="0" borderId="0" xfId="3" applyNumberFormat="1" applyFont="1"/>
    <xf numFmtId="0" fontId="10" fillId="0" borderId="0" xfId="3" applyFont="1"/>
    <xf numFmtId="0" fontId="15" fillId="0" borderId="0" xfId="3" applyFont="1"/>
    <xf numFmtId="0" fontId="32" fillId="0" borderId="0" xfId="2" applyFont="1"/>
    <xf numFmtId="0" fontId="33" fillId="0" borderId="5" xfId="2" applyFont="1" applyBorder="1"/>
    <xf numFmtId="0" fontId="34" fillId="0" borderId="5" xfId="2" applyFont="1" applyBorder="1"/>
    <xf numFmtId="0" fontId="11" fillId="0" borderId="5" xfId="2" applyFont="1" applyBorder="1"/>
    <xf numFmtId="0" fontId="11" fillId="0" borderId="0" xfId="2" applyFont="1" applyAlignment="1">
      <alignment vertical="center" wrapText="1"/>
    </xf>
    <xf numFmtId="0" fontId="33" fillId="0" borderId="5" xfId="2" applyFont="1" applyBorder="1" applyProtection="1">
      <protection locked="0"/>
    </xf>
    <xf numFmtId="0" fontId="34" fillId="0" borderId="0" xfId="2" applyFont="1"/>
    <xf numFmtId="0" fontId="32" fillId="0" borderId="0" xfId="2" applyFont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28" fillId="0" borderId="0" xfId="2" applyFont="1"/>
    <xf numFmtId="164" fontId="30" fillId="0" borderId="4" xfId="2" applyNumberFormat="1" applyFont="1" applyBorder="1" applyAlignment="1">
      <alignment horizontal="left" vertical="center"/>
    </xf>
    <xf numFmtId="0" fontId="35" fillId="0" borderId="0" xfId="2" applyFont="1"/>
    <xf numFmtId="0" fontId="36" fillId="0" borderId="0" xfId="2" applyFont="1" applyAlignment="1">
      <alignment horizontal="left" vertical="center" wrapText="1"/>
    </xf>
    <xf numFmtId="9" fontId="28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/>
    </xf>
    <xf numFmtId="0" fontId="10" fillId="5" borderId="6" xfId="2" applyFont="1" applyFill="1" applyBorder="1" applyAlignment="1">
      <alignment horizontal="center" vertical="top" wrapText="1"/>
    </xf>
    <xf numFmtId="0" fontId="37" fillId="5" borderId="6" xfId="2" applyFont="1" applyFill="1" applyBorder="1" applyAlignment="1">
      <alignment horizontal="center" vertical="top" wrapText="1"/>
    </xf>
    <xf numFmtId="165" fontId="32" fillId="6" borderId="7" xfId="2" applyNumberFormat="1" applyFont="1" applyFill="1" applyBorder="1" applyAlignment="1">
      <alignment vertical="center"/>
    </xf>
    <xf numFmtId="3" fontId="15" fillId="0" borderId="8" xfId="2" applyNumberFormat="1" applyFont="1" applyBorder="1" applyAlignment="1">
      <alignment horizontal="center" vertical="center"/>
    </xf>
    <xf numFmtId="4" fontId="15" fillId="0" borderId="8" xfId="2" applyNumberFormat="1" applyFont="1" applyBorder="1" applyAlignment="1">
      <alignment horizontal="center" vertical="center"/>
    </xf>
    <xf numFmtId="10" fontId="15" fillId="0" borderId="8" xfId="2" applyNumberFormat="1" applyFont="1" applyBorder="1" applyAlignment="1">
      <alignment horizontal="center" vertical="center"/>
    </xf>
    <xf numFmtId="165" fontId="15" fillId="0" borderId="8" xfId="2" applyNumberFormat="1" applyFont="1" applyBorder="1" applyAlignment="1">
      <alignment horizontal="center" vertical="center"/>
    </xf>
    <xf numFmtId="3" fontId="15" fillId="0" borderId="9" xfId="2" applyNumberFormat="1" applyFont="1" applyBorder="1" applyAlignment="1">
      <alignment horizontal="center" vertical="center"/>
    </xf>
    <xf numFmtId="0" fontId="38" fillId="0" borderId="0" xfId="2" applyFont="1"/>
    <xf numFmtId="165" fontId="32" fillId="6" borderId="10" xfId="2" applyNumberFormat="1" applyFont="1" applyFill="1" applyBorder="1" applyAlignment="1">
      <alignment vertical="center"/>
    </xf>
    <xf numFmtId="3" fontId="15" fillId="0" borderId="11" xfId="2" applyNumberFormat="1" applyFont="1" applyBorder="1" applyAlignment="1">
      <alignment horizontal="center" vertical="center"/>
    </xf>
    <xf numFmtId="4" fontId="15" fillId="0" borderId="11" xfId="2" applyNumberFormat="1" applyFont="1" applyBorder="1" applyAlignment="1">
      <alignment horizontal="center" vertical="center"/>
    </xf>
    <xf numFmtId="10" fontId="15" fillId="0" borderId="11" xfId="2" applyNumberFormat="1" applyFont="1" applyBorder="1" applyAlignment="1">
      <alignment horizontal="center" vertical="center"/>
    </xf>
    <xf numFmtId="165" fontId="15" fillId="0" borderId="11" xfId="2" applyNumberFormat="1" applyFont="1" applyBorder="1" applyAlignment="1">
      <alignment horizontal="center" vertical="center"/>
    </xf>
    <xf numFmtId="3" fontId="15" fillId="0" borderId="12" xfId="2" applyNumberFormat="1" applyFont="1" applyBorder="1" applyAlignment="1">
      <alignment horizontal="center" vertical="center"/>
    </xf>
    <xf numFmtId="3" fontId="39" fillId="0" borderId="0" xfId="2" applyNumberFormat="1" applyFont="1" applyAlignment="1">
      <alignment horizontal="center" vertical="center"/>
    </xf>
    <xf numFmtId="164" fontId="10" fillId="0" borderId="0" xfId="2" applyNumberFormat="1" applyFont="1" applyAlignment="1">
      <alignment horizontal="center" vertical="top" wrapText="1"/>
    </xf>
    <xf numFmtId="165" fontId="32" fillId="6" borderId="13" xfId="2" applyNumberFormat="1" applyFont="1" applyFill="1" applyBorder="1" applyAlignment="1">
      <alignment vertical="center"/>
    </xf>
    <xf numFmtId="3" fontId="15" fillId="0" borderId="14" xfId="2" applyNumberFormat="1" applyFont="1" applyBorder="1" applyAlignment="1">
      <alignment horizontal="center" vertical="center"/>
    </xf>
    <xf numFmtId="4" fontId="15" fillId="0" borderId="14" xfId="2" applyNumberFormat="1" applyFont="1" applyBorder="1" applyAlignment="1">
      <alignment horizontal="center" vertical="center"/>
    </xf>
    <xf numFmtId="10" fontId="15" fillId="0" borderId="15" xfId="2" applyNumberFormat="1" applyFont="1" applyBorder="1" applyAlignment="1">
      <alignment horizontal="center" vertical="center"/>
    </xf>
    <xf numFmtId="165" fontId="15" fillId="0" borderId="14" xfId="2" applyNumberFormat="1" applyFont="1" applyBorder="1" applyAlignment="1">
      <alignment horizontal="center" vertical="center"/>
    </xf>
    <xf numFmtId="3" fontId="15" fillId="0" borderId="16" xfId="2" applyNumberFormat="1" applyFont="1" applyBorder="1" applyAlignment="1">
      <alignment horizontal="center" vertical="center"/>
    </xf>
    <xf numFmtId="4" fontId="37" fillId="0" borderId="0" xfId="2" applyNumberFormat="1" applyFont="1" applyAlignment="1" applyProtection="1">
      <alignment horizontal="center" vertical="center"/>
      <protection locked="0"/>
    </xf>
    <xf numFmtId="0" fontId="40" fillId="0" borderId="17" xfId="2" applyFont="1" applyBorder="1" applyAlignment="1">
      <alignment horizontal="centerContinuous" vertical="center"/>
    </xf>
    <xf numFmtId="0" fontId="40" fillId="0" borderId="18" xfId="2" applyFont="1" applyBorder="1" applyAlignment="1">
      <alignment horizontal="centerContinuous" vertical="center"/>
    </xf>
    <xf numFmtId="9" fontId="41" fillId="0" borderId="19" xfId="2" applyNumberFormat="1" applyFont="1" applyBorder="1" applyAlignment="1">
      <alignment horizontal="center" vertical="center"/>
    </xf>
    <xf numFmtId="3" fontId="42" fillId="7" borderId="19" xfId="2" applyNumberFormat="1" applyFont="1" applyFill="1" applyBorder="1" applyAlignment="1">
      <alignment horizontal="center" vertical="center"/>
    </xf>
    <xf numFmtId="0" fontId="43" fillId="0" borderId="0" xfId="2" applyFont="1"/>
    <xf numFmtId="0" fontId="36" fillId="0" borderId="0" xfId="2" applyFont="1" applyAlignment="1">
      <alignment horizontal="left" vertical="center"/>
    </xf>
    <xf numFmtId="0" fontId="44" fillId="8" borderId="0" xfId="2" applyFont="1" applyFill="1" applyAlignment="1">
      <alignment horizontal="center"/>
    </xf>
    <xf numFmtId="0" fontId="10" fillId="0" borderId="0" xfId="2" applyFont="1" applyAlignment="1">
      <alignment horizontal="center" vertical="center"/>
    </xf>
    <xf numFmtId="0" fontId="37" fillId="0" borderId="0" xfId="2" applyFont="1" applyAlignment="1" applyProtection="1">
      <alignment horizontal="center" vertical="center"/>
      <protection locked="0"/>
    </xf>
    <xf numFmtId="164" fontId="10" fillId="9" borderId="0" xfId="2" applyNumberFormat="1" applyFont="1" applyFill="1" applyAlignment="1">
      <alignment horizontal="left" vertical="top"/>
    </xf>
    <xf numFmtId="164" fontId="10" fillId="9" borderId="0" xfId="2" applyNumberFormat="1" applyFont="1" applyFill="1" applyAlignment="1">
      <alignment horizontal="center" vertical="top"/>
    </xf>
    <xf numFmtId="164" fontId="10" fillId="0" borderId="0" xfId="2" applyNumberFormat="1" applyFont="1" applyAlignment="1">
      <alignment horizontal="center" vertical="top"/>
    </xf>
    <xf numFmtId="0" fontId="2" fillId="0" borderId="20" xfId="2" applyFont="1" applyBorder="1" applyAlignment="1">
      <alignment horizontal="center" wrapText="1"/>
    </xf>
    <xf numFmtId="164" fontId="10" fillId="3" borderId="0" xfId="2" applyNumberFormat="1" applyFont="1" applyFill="1" applyAlignment="1">
      <alignment horizontal="center" vertical="top" wrapText="1"/>
    </xf>
    <xf numFmtId="164" fontId="10" fillId="3" borderId="0" xfId="2" applyNumberFormat="1" applyFont="1" applyFill="1" applyAlignment="1">
      <alignment horizontal="center" vertical="center" wrapText="1"/>
    </xf>
    <xf numFmtId="164" fontId="10" fillId="0" borderId="0" xfId="2" applyNumberFormat="1" applyFont="1" applyAlignment="1">
      <alignment horizontal="center" vertical="center" wrapText="1"/>
    </xf>
    <xf numFmtId="9" fontId="45" fillId="0" borderId="21" xfId="2" applyNumberFormat="1" applyFont="1" applyBorder="1"/>
    <xf numFmtId="2" fontId="45" fillId="0" borderId="0" xfId="2" applyNumberFormat="1" applyFont="1"/>
    <xf numFmtId="44" fontId="45" fillId="0" borderId="22" xfId="2" applyNumberFormat="1" applyFont="1" applyBorder="1"/>
    <xf numFmtId="0" fontId="3" fillId="8" borderId="0" xfId="2" applyFill="1" applyAlignment="1">
      <alignment horizontal="center"/>
    </xf>
    <xf numFmtId="0" fontId="10" fillId="0" borderId="23" xfId="2" applyFont="1" applyBorder="1" applyAlignment="1">
      <alignment horizontal="center" vertical="center"/>
    </xf>
    <xf numFmtId="4" fontId="37" fillId="0" borderId="24" xfId="2" applyNumberFormat="1" applyFont="1" applyBorder="1" applyAlignment="1" applyProtection="1">
      <alignment horizontal="center" vertical="center"/>
      <protection locked="0"/>
    </xf>
    <xf numFmtId="4" fontId="37" fillId="0" borderId="23" xfId="2" applyNumberFormat="1" applyFont="1" applyBorder="1" applyAlignment="1" applyProtection="1">
      <alignment horizontal="center" vertical="center"/>
      <protection locked="0"/>
    </xf>
    <xf numFmtId="0" fontId="10" fillId="0" borderId="25" xfId="2" applyFont="1" applyBorder="1" applyAlignment="1">
      <alignment horizontal="center" vertical="center"/>
    </xf>
    <xf numFmtId="0" fontId="15" fillId="0" borderId="26" xfId="2" applyFont="1" applyBorder="1" applyAlignment="1">
      <alignment horizontal="center" vertical="center"/>
    </xf>
    <xf numFmtId="4" fontId="15" fillId="0" borderId="0" xfId="2" applyNumberFormat="1" applyFont="1" applyAlignment="1">
      <alignment horizontal="center" vertical="center"/>
    </xf>
    <xf numFmtId="0" fontId="1" fillId="0" borderId="0" xfId="4" applyAlignment="1">
      <alignment horizontal="center"/>
    </xf>
    <xf numFmtId="4" fontId="15" fillId="0" borderId="24" xfId="2" applyNumberFormat="1" applyFont="1" applyBorder="1" applyAlignment="1">
      <alignment horizontal="center" vertical="center"/>
    </xf>
    <xf numFmtId="9" fontId="2" fillId="0" borderId="21" xfId="2" applyNumberFormat="1" applyFont="1" applyBorder="1"/>
    <xf numFmtId="2" fontId="2" fillId="0" borderId="0" xfId="2" applyNumberFormat="1" applyFont="1"/>
    <xf numFmtId="44" fontId="2" fillId="0" borderId="22" xfId="2" applyNumberFormat="1" applyFont="1" applyBorder="1"/>
    <xf numFmtId="2" fontId="32" fillId="0" borderId="0" xfId="2" applyNumberFormat="1" applyFont="1"/>
    <xf numFmtId="0" fontId="46" fillId="8" borderId="0" xfId="2" applyFont="1" applyFill="1" applyAlignment="1">
      <alignment horizontal="center"/>
    </xf>
    <xf numFmtId="9" fontId="2" fillId="0" borderId="27" xfId="2" applyNumberFormat="1" applyFont="1" applyBorder="1"/>
    <xf numFmtId="2" fontId="2" fillId="0" borderId="28" xfId="2" applyNumberFormat="1" applyFont="1" applyBorder="1"/>
    <xf numFmtId="44" fontId="2" fillId="0" borderId="29" xfId="2" quotePrefix="1" applyNumberFormat="1" applyFont="1" applyBorder="1"/>
    <xf numFmtId="0" fontId="11" fillId="0" borderId="0" xfId="4" applyFont="1"/>
    <xf numFmtId="9" fontId="28" fillId="0" borderId="0" xfId="1" applyFont="1" applyAlignment="1">
      <alignment horizontal="left"/>
    </xf>
    <xf numFmtId="9" fontId="48" fillId="0" borderId="30" xfId="1" applyFont="1" applyBorder="1" applyAlignment="1">
      <alignment horizontal="left"/>
    </xf>
    <xf numFmtId="9" fontId="48" fillId="0" borderId="30" xfId="1" applyFont="1" applyBorder="1" applyAlignment="1">
      <alignment horizontal="center"/>
    </xf>
    <xf numFmtId="0" fontId="15" fillId="0" borderId="0" xfId="2" applyFont="1" applyAlignment="1">
      <alignment horizontal="left" vertical="top"/>
    </xf>
    <xf numFmtId="0" fontId="15" fillId="0" borderId="0" xfId="2" applyFont="1" applyAlignment="1">
      <alignment horizontal="center" vertical="center"/>
    </xf>
    <xf numFmtId="0" fontId="32" fillId="0" borderId="0" xfId="2" applyFont="1" applyAlignment="1">
      <alignment horizontal="left"/>
    </xf>
    <xf numFmtId="9" fontId="48" fillId="0" borderId="0" xfId="1" applyFont="1" applyAlignment="1">
      <alignment horizontal="center"/>
    </xf>
    <xf numFmtId="9" fontId="51" fillId="0" borderId="0" xfId="2" applyNumberFormat="1" applyFont="1" applyAlignment="1">
      <alignment horizontal="left"/>
    </xf>
    <xf numFmtId="0" fontId="11" fillId="0" borderId="0" xfId="2" applyFont="1" applyAlignment="1">
      <alignment horizontal="left"/>
    </xf>
    <xf numFmtId="167" fontId="11" fillId="0" borderId="0" xfId="2" applyNumberFormat="1" applyFont="1" applyAlignment="1">
      <alignment horizontal="center"/>
    </xf>
    <xf numFmtId="9" fontId="35" fillId="0" borderId="0" xfId="2" applyNumberFormat="1" applyFont="1" applyAlignment="1">
      <alignment horizontal="center"/>
    </xf>
    <xf numFmtId="165" fontId="11" fillId="0" borderId="0" xfId="2" applyNumberFormat="1" applyFont="1" applyAlignment="1">
      <alignment horizontal="center"/>
    </xf>
    <xf numFmtId="0" fontId="10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Continuous" vertical="center"/>
    </xf>
    <xf numFmtId="165" fontId="32" fillId="0" borderId="0" xfId="2" applyNumberFormat="1" applyFont="1" applyAlignment="1">
      <alignment vertical="center"/>
    </xf>
    <xf numFmtId="168" fontId="10" fillId="0" borderId="0" xfId="2" applyNumberFormat="1" applyFont="1" applyAlignment="1">
      <alignment horizontal="center" vertical="center"/>
    </xf>
    <xf numFmtId="9" fontId="28" fillId="0" borderId="0" xfId="2" applyNumberFormat="1" applyFont="1" applyAlignment="1">
      <alignment horizontal="right"/>
    </xf>
    <xf numFmtId="167" fontId="11" fillId="0" borderId="31" xfId="2" applyNumberFormat="1" applyFont="1" applyBorder="1" applyAlignment="1">
      <alignment horizontal="center"/>
    </xf>
    <xf numFmtId="0" fontId="3" fillId="8" borderId="0" xfId="2" applyFill="1"/>
    <xf numFmtId="0" fontId="53" fillId="10" borderId="32" xfId="2" applyFont="1" applyFill="1" applyBorder="1" applyAlignment="1">
      <alignment horizontal="center" wrapText="1"/>
    </xf>
    <xf numFmtId="4" fontId="54" fillId="10" borderId="33" xfId="2" applyNumberFormat="1" applyFont="1" applyFill="1" applyBorder="1" applyAlignment="1">
      <alignment horizontal="center" vertical="center"/>
    </xf>
    <xf numFmtId="4" fontId="54" fillId="0" borderId="0" xfId="2" applyNumberFormat="1" applyFont="1" applyAlignment="1">
      <alignment horizontal="center" vertical="center"/>
    </xf>
    <xf numFmtId="0" fontId="55" fillId="0" borderId="0" xfId="2" applyFont="1" applyAlignment="1">
      <alignment horizontal="center"/>
    </xf>
    <xf numFmtId="14" fontId="56" fillId="0" borderId="0" xfId="2" applyNumberFormat="1" applyFont="1" applyAlignment="1" applyProtection="1">
      <alignment horizontal="left"/>
      <protection locked="0"/>
    </xf>
    <xf numFmtId="14" fontId="57" fillId="0" borderId="0" xfId="2" applyNumberFormat="1" applyFont="1" applyProtection="1">
      <protection locked="0"/>
    </xf>
    <xf numFmtId="0" fontId="35" fillId="0" borderId="0" xfId="2" applyFont="1" applyAlignment="1">
      <alignment horizontal="center"/>
    </xf>
    <xf numFmtId="14" fontId="58" fillId="0" borderId="0" xfId="2" applyNumberFormat="1" applyFont="1" applyProtection="1">
      <protection locked="0"/>
    </xf>
    <xf numFmtId="0" fontId="59" fillId="0" borderId="0" xfId="2" applyFont="1"/>
    <xf numFmtId="0" fontId="11" fillId="0" borderId="0" xfId="2" applyFont="1" applyAlignment="1">
      <alignment horizontal="left" wrapText="1"/>
    </xf>
    <xf numFmtId="0" fontId="11" fillId="0" borderId="0" xfId="2" applyFont="1" applyAlignment="1">
      <alignment horizontal="left" indent="1"/>
    </xf>
    <xf numFmtId="0" fontId="11" fillId="0" borderId="0" xfId="2" applyFont="1" applyAlignment="1">
      <alignment vertical="top" wrapText="1"/>
    </xf>
    <xf numFmtId="0" fontId="15" fillId="11" borderId="0" xfId="2" applyFont="1" applyFill="1" applyAlignment="1">
      <alignment horizontal="left" vertical="top" indent="1"/>
    </xf>
    <xf numFmtId="14" fontId="11" fillId="0" borderId="0" xfId="2" applyNumberFormat="1" applyFont="1" applyAlignment="1" applyProtection="1">
      <alignment horizontal="left" vertical="top" indent="1"/>
      <protection locked="0"/>
    </xf>
    <xf numFmtId="0" fontId="15" fillId="11" borderId="0" xfId="2" applyFont="1" applyFill="1" applyAlignment="1">
      <alignment horizontal="left" indent="1"/>
    </xf>
    <xf numFmtId="0" fontId="15" fillId="11" borderId="0" xfId="2" applyFont="1" applyFill="1" applyAlignment="1">
      <alignment horizontal="right"/>
    </xf>
    <xf numFmtId="0" fontId="11" fillId="0" borderId="0" xfId="2" applyFont="1" applyAlignment="1">
      <alignment horizontal="left" vertical="top" indent="1"/>
    </xf>
    <xf numFmtId="0" fontId="11" fillId="11" borderId="0" xfId="2" applyFont="1" applyFill="1"/>
    <xf numFmtId="0" fontId="11" fillId="11" borderId="0" xfId="2" applyFont="1" applyFill="1" applyAlignment="1">
      <alignment horizontal="left" indent="1"/>
    </xf>
    <xf numFmtId="0" fontId="11" fillId="11" borderId="0" xfId="2" applyFont="1" applyFill="1" applyAlignment="1">
      <alignment horizontal="left" vertical="top"/>
    </xf>
    <xf numFmtId="14" fontId="11" fillId="0" borderId="0" xfId="2" applyNumberFormat="1" applyFont="1"/>
    <xf numFmtId="164" fontId="30" fillId="0" borderId="0" xfId="2" applyNumberFormat="1" applyFont="1" applyAlignment="1">
      <alignment vertical="center"/>
    </xf>
    <xf numFmtId="0" fontId="32" fillId="12" borderId="0" xfId="2" applyFont="1" applyFill="1"/>
    <xf numFmtId="0" fontId="11" fillId="12" borderId="0" xfId="2" applyFont="1" applyFill="1"/>
    <xf numFmtId="169" fontId="32" fillId="0" borderId="0" xfId="2" applyNumberFormat="1" applyFont="1" applyAlignment="1">
      <alignment wrapText="1"/>
    </xf>
    <xf numFmtId="169" fontId="11" fillId="0" borderId="0" xfId="2" applyNumberFormat="1" applyFont="1" applyAlignment="1">
      <alignment wrapText="1"/>
    </xf>
    <xf numFmtId="0" fontId="3" fillId="0" borderId="0" xfId="2" applyProtection="1">
      <protection locked="0"/>
    </xf>
    <xf numFmtId="0" fontId="15" fillId="11" borderId="0" xfId="2" applyFont="1" applyFill="1"/>
    <xf numFmtId="164" fontId="61" fillId="2" borderId="0" xfId="2" applyNumberFormat="1" applyFont="1" applyFill="1"/>
    <xf numFmtId="164" fontId="62" fillId="2" borderId="0" xfId="2" applyNumberFormat="1" applyFont="1" applyFill="1"/>
    <xf numFmtId="0" fontId="1" fillId="0" borderId="0" xfId="5"/>
    <xf numFmtId="0" fontId="63" fillId="0" borderId="0" xfId="5" applyFont="1"/>
    <xf numFmtId="164" fontId="62" fillId="3" borderId="0" xfId="2" applyNumberFormat="1" applyFont="1" applyFill="1" applyAlignment="1">
      <alignment vertical="top"/>
    </xf>
    <xf numFmtId="164" fontId="62" fillId="11" borderId="0" xfId="2" applyNumberFormat="1" applyFont="1" applyFill="1"/>
    <xf numFmtId="164" fontId="64" fillId="11" borderId="0" xfId="2" applyNumberFormat="1" applyFont="1" applyFill="1"/>
    <xf numFmtId="164" fontId="24" fillId="11" borderId="0" xfId="2" applyNumberFormat="1" applyFont="1" applyFill="1" applyAlignment="1">
      <alignment horizontal="left"/>
    </xf>
    <xf numFmtId="164" fontId="24" fillId="11" borderId="0" xfId="2" applyNumberFormat="1" applyFont="1" applyFill="1"/>
    <xf numFmtId="164" fontId="25" fillId="11" borderId="0" xfId="2" applyNumberFormat="1" applyFont="1" applyFill="1" applyAlignment="1">
      <alignment vertical="center"/>
    </xf>
    <xf numFmtId="0" fontId="36" fillId="13" borderId="0" xfId="6" applyFont="1" applyFill="1" applyAlignment="1">
      <alignment horizontal="center" vertical="center" wrapText="1"/>
    </xf>
    <xf numFmtId="0" fontId="65" fillId="0" borderId="0" xfId="5" applyFont="1"/>
    <xf numFmtId="0" fontId="11" fillId="11" borderId="0" xfId="2" applyFont="1" applyFill="1" applyAlignment="1">
      <alignment horizontal="left" vertical="center" wrapText="1" indent="1"/>
    </xf>
    <xf numFmtId="0" fontId="11" fillId="11" borderId="4" xfId="6" applyFont="1" applyFill="1" applyBorder="1" applyAlignment="1">
      <alignment horizontal="center" vertical="center" wrapText="1"/>
    </xf>
    <xf numFmtId="0" fontId="11" fillId="11" borderId="34" xfId="2" applyFont="1" applyFill="1" applyBorder="1" applyAlignment="1">
      <alignment horizontal="left" vertical="center" wrapText="1" indent="1"/>
    </xf>
    <xf numFmtId="0" fontId="11" fillId="11" borderId="35" xfId="2" applyFont="1" applyFill="1" applyBorder="1" applyAlignment="1">
      <alignment horizontal="left" vertical="center" wrapText="1"/>
    </xf>
    <xf numFmtId="167" fontId="11" fillId="11" borderId="35" xfId="2" applyNumberFormat="1" applyFont="1" applyFill="1" applyBorder="1" applyAlignment="1">
      <alignment horizontal="center" vertical="center" wrapText="1"/>
    </xf>
    <xf numFmtId="167" fontId="11" fillId="11" borderId="0" xfId="2" applyNumberFormat="1" applyFont="1" applyFill="1" applyAlignment="1">
      <alignment horizontal="center" vertical="center" wrapText="1"/>
    </xf>
    <xf numFmtId="0" fontId="11" fillId="11" borderId="35" xfId="2" applyFont="1" applyFill="1" applyBorder="1" applyAlignment="1">
      <alignment horizontal="left" vertical="center" wrapText="1" indent="1"/>
    </xf>
    <xf numFmtId="0" fontId="11" fillId="11" borderId="34" xfId="2" applyFont="1" applyFill="1" applyBorder="1" applyAlignment="1">
      <alignment horizontal="left" vertical="center" wrapText="1"/>
    </xf>
    <xf numFmtId="167" fontId="11" fillId="11" borderId="34" xfId="2" applyNumberFormat="1" applyFont="1" applyFill="1" applyBorder="1" applyAlignment="1">
      <alignment horizontal="center" vertical="center" wrapText="1"/>
    </xf>
    <xf numFmtId="0" fontId="11" fillId="11" borderId="34" xfId="6" applyFont="1" applyFill="1" applyBorder="1" applyAlignment="1">
      <alignment horizontal="left" vertical="center" wrapText="1" indent="1"/>
    </xf>
    <xf numFmtId="0" fontId="11" fillId="11" borderId="34" xfId="2" applyFont="1" applyFill="1" applyBorder="1" applyAlignment="1">
      <alignment horizontal="center" vertical="center"/>
    </xf>
    <xf numFmtId="0" fontId="11" fillId="11" borderId="0" xfId="6" applyFont="1" applyFill="1" applyAlignment="1">
      <alignment horizontal="left" vertical="center" wrapText="1" indent="1"/>
    </xf>
    <xf numFmtId="0" fontId="11" fillId="11" borderId="34" xfId="2" applyFont="1" applyFill="1" applyBorder="1" applyAlignment="1">
      <alignment horizontal="center" vertical="center" wrapText="1"/>
    </xf>
    <xf numFmtId="0" fontId="11" fillId="11" borderId="35" xfId="2" applyFont="1" applyFill="1" applyBorder="1" applyAlignment="1">
      <alignment horizontal="center" vertical="center"/>
    </xf>
    <xf numFmtId="0" fontId="11" fillId="11" borderId="0" xfId="2" applyFont="1" applyFill="1" applyAlignment="1">
      <alignment horizontal="left" vertical="center" wrapText="1"/>
    </xf>
    <xf numFmtId="0" fontId="0" fillId="0" borderId="0" xfId="5" applyFont="1"/>
    <xf numFmtId="0" fontId="11" fillId="11" borderId="34" xfId="2" applyFont="1" applyFill="1" applyBorder="1"/>
    <xf numFmtId="0" fontId="32" fillId="11" borderId="34" xfId="2" applyFont="1" applyFill="1" applyBorder="1" applyAlignment="1">
      <alignment horizontal="left"/>
    </xf>
    <xf numFmtId="0" fontId="32" fillId="11" borderId="0" xfId="2" applyFont="1" applyFill="1"/>
    <xf numFmtId="0" fontId="11" fillId="11" borderId="4" xfId="2" applyFont="1" applyFill="1" applyBorder="1" applyAlignment="1">
      <alignment horizontal="left" vertical="center" wrapText="1" indent="1"/>
    </xf>
    <xf numFmtId="9" fontId="11" fillId="11" borderId="4" xfId="1" applyFont="1" applyFill="1" applyBorder="1" applyAlignment="1">
      <alignment horizontal="center" vertical="center" wrapText="1"/>
    </xf>
    <xf numFmtId="0" fontId="11" fillId="11" borderId="35" xfId="2" applyFont="1" applyFill="1" applyBorder="1" applyAlignment="1">
      <alignment vertical="center" wrapText="1"/>
    </xf>
    <xf numFmtId="0" fontId="1" fillId="0" borderId="35" xfId="5" applyBorder="1" applyAlignment="1">
      <alignment horizontal="center" vertical="center"/>
    </xf>
    <xf numFmtId="0" fontId="11" fillId="11" borderId="4" xfId="2" applyFont="1" applyFill="1" applyBorder="1" applyAlignment="1">
      <alignment vertical="center" wrapText="1"/>
    </xf>
    <xf numFmtId="167" fontId="11" fillId="11" borderId="4" xfId="2" applyNumberFormat="1" applyFont="1" applyFill="1" applyBorder="1" applyAlignment="1">
      <alignment horizontal="center" vertical="center" wrapText="1"/>
    </xf>
    <xf numFmtId="0" fontId="11" fillId="11" borderId="0" xfId="2" applyFont="1" applyFill="1" applyAlignment="1">
      <alignment vertical="center" wrapText="1"/>
    </xf>
    <xf numFmtId="0" fontId="1" fillId="0" borderId="0" xfId="5" applyAlignment="1">
      <alignment wrapText="1"/>
    </xf>
    <xf numFmtId="0" fontId="32" fillId="11" borderId="34" xfId="2" applyFont="1" applyFill="1" applyBorder="1"/>
    <xf numFmtId="0" fontId="66" fillId="11" borderId="0" xfId="2" applyFont="1" applyFill="1"/>
    <xf numFmtId="0" fontId="64" fillId="11" borderId="0" xfId="2" applyFont="1" applyFill="1"/>
    <xf numFmtId="0" fontId="66" fillId="0" borderId="0" xfId="2" applyFont="1"/>
    <xf numFmtId="0" fontId="64" fillId="0" borderId="0" xfId="2" applyFont="1"/>
    <xf numFmtId="1" fontId="48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0" fillId="0" borderId="2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5" fillId="0" borderId="2" xfId="2" applyFont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0" fontId="6" fillId="4" borderId="0" xfId="2" applyFont="1" applyFill="1" applyAlignment="1" applyProtection="1">
      <alignment horizontal="center" vertical="center"/>
      <protection locked="0"/>
    </xf>
    <xf numFmtId="0" fontId="9" fillId="0" borderId="0" xfId="2" applyFont="1" applyAlignment="1">
      <alignment horizontal="left" vertical="top" wrapText="1"/>
    </xf>
    <xf numFmtId="0" fontId="10" fillId="0" borderId="0" xfId="2" applyFont="1" applyAlignment="1">
      <alignment horizontal="center" vertical="center"/>
    </xf>
    <xf numFmtId="0" fontId="32" fillId="0" borderId="0" xfId="2" applyFont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28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166" fontId="11" fillId="0" borderId="0" xfId="2" applyNumberFormat="1" applyFont="1" applyAlignment="1">
      <alignment horizontal="left"/>
    </xf>
    <xf numFmtId="0" fontId="11" fillId="0" borderId="0" xfId="2" applyFont="1" applyAlignment="1">
      <alignment horizontal="left" wrapText="1" indent="1"/>
    </xf>
    <xf numFmtId="0" fontId="36" fillId="13" borderId="0" xfId="6" applyFont="1" applyFill="1" applyAlignment="1">
      <alignment horizontal="center" vertical="center" wrapText="1"/>
    </xf>
    <xf numFmtId="0" fontId="11" fillId="11" borderId="0" xfId="2" applyFont="1" applyFill="1" applyAlignment="1">
      <alignment horizontal="left" vertical="center" wrapText="1" indent="1"/>
    </xf>
    <xf numFmtId="0" fontId="11" fillId="11" borderId="0" xfId="2" applyFont="1" applyFill="1" applyAlignment="1">
      <alignment horizontal="left" vertical="center" wrapText="1"/>
    </xf>
    <xf numFmtId="0" fontId="11" fillId="11" borderId="34" xfId="2" applyFont="1" applyFill="1" applyBorder="1" applyAlignment="1">
      <alignment horizontal="left" vertical="center" wrapText="1"/>
    </xf>
    <xf numFmtId="0" fontId="11" fillId="11" borderId="4" xfId="2" applyFont="1" applyFill="1" applyBorder="1" applyAlignment="1">
      <alignment horizontal="left" vertical="center" wrapText="1"/>
    </xf>
    <xf numFmtId="0" fontId="11" fillId="11" borderId="34" xfId="6" applyFont="1" applyFill="1" applyBorder="1" applyAlignment="1">
      <alignment horizontal="left" vertical="center" wrapText="1" indent="1"/>
    </xf>
    <xf numFmtId="0" fontId="11" fillId="11" borderId="0" xfId="6" applyFont="1" applyFill="1" applyAlignment="1">
      <alignment horizontal="left" vertical="center" wrapText="1" indent="1"/>
    </xf>
    <xf numFmtId="0" fontId="11" fillId="11" borderId="4" xfId="6" applyFont="1" applyFill="1" applyBorder="1" applyAlignment="1">
      <alignment horizontal="left" vertical="center" wrapText="1" indent="1"/>
    </xf>
  </cellXfs>
  <cellStyles count="8">
    <cellStyle name="Normal" xfId="0" builtinId="0"/>
    <cellStyle name="Normal 2" xfId="2" xr:uid="{935B4899-2F31-4EBF-B2A6-D15ECF871494}"/>
    <cellStyle name="Normal 2 2" xfId="4" xr:uid="{3ED5163B-EA35-4134-BC0A-F7E7B1009104}"/>
    <cellStyle name="Normal 4 2 9" xfId="5" xr:uid="{5FBB59AF-849B-4BCB-9CFA-A818D7D56D6B}"/>
    <cellStyle name="Normal 5" xfId="7" xr:uid="{8D830AC3-3A71-4892-973E-2F57FE0AF694}"/>
    <cellStyle name="Normal_Custommer summary_without comments" xfId="3" xr:uid="{5439C986-3E09-4608-BFC3-F144BE111053}"/>
    <cellStyle name="Normal_Value_Added_Surcharges_v2" xfId="6" xr:uid="{3AA415DD-21CC-4607-9B77-F67506CE2DE7}"/>
    <cellStyle name="Porcentaje" xfId="1" builtinId="5"/>
  </cellStyles>
  <dxfs count="8"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indexed="46"/>
        </patternFill>
      </fill>
    </dxf>
    <dxf>
      <font>
        <b/>
        <i val="0"/>
        <color rgb="FFC0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230392</xdr:colOff>
      <xdr:row>5</xdr:row>
      <xdr:rowOff>412749</xdr:rowOff>
    </xdr:from>
    <xdr:to>
      <xdr:col>11</xdr:col>
      <xdr:colOff>564746</xdr:colOff>
      <xdr:row>7</xdr:row>
      <xdr:rowOff>1063624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95A91A-E3C5-47EF-BED8-060826E16FE1}"/>
            </a:ext>
          </a:extLst>
        </xdr:cNvPr>
        <xdr:cNvSpPr txBox="1"/>
      </xdr:nvSpPr>
      <xdr:spPr>
        <a:xfrm>
          <a:off x="230392" y="4622799"/>
          <a:ext cx="7659079" cy="2070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s-ES" sz="2000" b="0">
              <a:solidFill>
                <a:srgbClr val="C00000"/>
              </a:solidFill>
              <a:latin typeface="+mn-lt"/>
            </a:rPr>
          </a:br>
          <a:r>
            <a:rPr lang="es-ES" sz="2000" b="0">
              <a:solidFill>
                <a:srgbClr val="D40511"/>
              </a:solidFill>
              <a:latin typeface="+mn-lt"/>
            </a:rPr>
            <a:t>DHL PARCEL EUROPLUS DOMÉSTICO</a:t>
          </a:r>
          <a:br>
            <a:rPr lang="es-ES" sz="2000" b="0">
              <a:solidFill>
                <a:srgbClr val="C00000"/>
              </a:solidFill>
              <a:latin typeface="+mn-lt"/>
            </a:rPr>
          </a:br>
          <a:r>
            <a:rPr lang="es-ES" sz="2400" b="1">
              <a:solidFill>
                <a:srgbClr val="D40511"/>
              </a:solidFill>
              <a:latin typeface="+mn-lt"/>
              <a:cs typeface="Calibri" panose="020F0502020204030204" pitchFamily="34" charset="0"/>
            </a:rPr>
            <a:t>LA MEJOR SOLUCIÓN PARA TUS ENVÍOS </a:t>
          </a:r>
        </a:p>
        <a:p>
          <a:r>
            <a:rPr lang="es-ES" sz="2400" b="1">
              <a:solidFill>
                <a:srgbClr val="D40511"/>
              </a:solidFill>
              <a:latin typeface="+mn-lt"/>
              <a:cs typeface="Calibri" panose="020F0502020204030204" pitchFamily="34" charset="0"/>
            </a:rPr>
            <a:t>DE PAQUETERÍA</a:t>
          </a:r>
          <a:r>
            <a:rPr lang="es-ES" sz="2400" b="1" baseline="0">
              <a:solidFill>
                <a:srgbClr val="D40511"/>
              </a:solidFill>
              <a:latin typeface="+mn-lt"/>
              <a:cs typeface="Calibri" panose="020F0502020204030204" pitchFamily="34" charset="0"/>
            </a:rPr>
            <a:t>  EMPRESARIAL </a:t>
          </a:r>
          <a:br>
            <a:rPr lang="es-ES" sz="2000" b="0">
              <a:solidFill>
                <a:srgbClr val="C00000"/>
              </a:solidFill>
              <a:latin typeface="+mn-lt"/>
            </a:rPr>
          </a:br>
          <a:endParaRPr lang="es-ES" sz="2000" b="0">
            <a:solidFill>
              <a:srgbClr val="C00000"/>
            </a:solidFill>
            <a:latin typeface="+mn-lt"/>
          </a:endParaRPr>
        </a:p>
      </xdr:txBody>
    </xdr:sp>
    <xdr:clientData/>
  </xdr:twoCellAnchor>
  <xdr:twoCellAnchor>
    <xdr:from>
      <xdr:col>1</xdr:col>
      <xdr:colOff>577850</xdr:colOff>
      <xdr:row>50</xdr:row>
      <xdr:rowOff>65245</xdr:rowOff>
    </xdr:from>
    <xdr:to>
      <xdr:col>11</xdr:col>
      <xdr:colOff>152400</xdr:colOff>
      <xdr:row>50</xdr:row>
      <xdr:rowOff>71595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0080F05-6238-4FC6-A6EE-88F9CCD136F0}"/>
            </a:ext>
          </a:extLst>
        </xdr:cNvPr>
        <xdr:cNvCxnSpPr/>
      </xdr:nvCxnSpPr>
      <xdr:spPr>
        <a:xfrm>
          <a:off x="854075" y="19791520"/>
          <a:ext cx="6623050" cy="6350"/>
        </a:xfrm>
        <a:prstGeom prst="line">
          <a:avLst/>
        </a:prstGeom>
        <a:ln w="952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584200</xdr:colOff>
      <xdr:row>51</xdr:row>
      <xdr:rowOff>90645</xdr:rowOff>
    </xdr:from>
    <xdr:to>
      <xdr:col>11</xdr:col>
      <xdr:colOff>158750</xdr:colOff>
      <xdr:row>51</xdr:row>
      <xdr:rowOff>96995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44701EF-5884-407C-8F81-4F22EDD8BE3E}"/>
            </a:ext>
          </a:extLst>
        </xdr:cNvPr>
        <xdr:cNvCxnSpPr/>
      </xdr:nvCxnSpPr>
      <xdr:spPr>
        <a:xfrm>
          <a:off x="860425" y="19978845"/>
          <a:ext cx="6623050" cy="6350"/>
        </a:xfrm>
        <a:prstGeom prst="line">
          <a:avLst/>
        </a:prstGeom>
        <a:ln w="952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52</xdr:row>
      <xdr:rowOff>109696</xdr:rowOff>
    </xdr:from>
    <xdr:to>
      <xdr:col>11</xdr:col>
      <xdr:colOff>165100</xdr:colOff>
      <xdr:row>52</xdr:row>
      <xdr:rowOff>116046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3313627-C7E4-4FB8-BE9A-9D29AFCA7506}"/>
            </a:ext>
          </a:extLst>
        </xdr:cNvPr>
        <xdr:cNvCxnSpPr/>
      </xdr:nvCxnSpPr>
      <xdr:spPr>
        <a:xfrm>
          <a:off x="866775" y="20159821"/>
          <a:ext cx="6623050" cy="6350"/>
        </a:xfrm>
        <a:prstGeom prst="line">
          <a:avLst/>
        </a:prstGeom>
        <a:ln w="952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584200</xdr:colOff>
      <xdr:row>53</xdr:row>
      <xdr:rowOff>134518</xdr:rowOff>
    </xdr:from>
    <xdr:to>
      <xdr:col>11</xdr:col>
      <xdr:colOff>158750</xdr:colOff>
      <xdr:row>53</xdr:row>
      <xdr:rowOff>140868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4171473-7EA7-4B5B-B42F-F110416DC71F}"/>
            </a:ext>
          </a:extLst>
        </xdr:cNvPr>
        <xdr:cNvCxnSpPr/>
      </xdr:nvCxnSpPr>
      <xdr:spPr>
        <a:xfrm>
          <a:off x="860425" y="20346568"/>
          <a:ext cx="6623050" cy="6350"/>
        </a:xfrm>
        <a:prstGeom prst="line">
          <a:avLst/>
        </a:prstGeom>
        <a:ln w="952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478170</xdr:colOff>
      <xdr:row>6</xdr:row>
      <xdr:rowOff>268498</xdr:rowOff>
    </xdr:from>
    <xdr:to>
      <xdr:col>5</xdr:col>
      <xdr:colOff>624416</xdr:colOff>
      <xdr:row>7</xdr:row>
      <xdr:rowOff>867212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4AC096-82A4-4A40-846D-B0F66606EDC5}"/>
            </a:ext>
          </a:extLst>
        </xdr:cNvPr>
        <xdr:cNvSpPr txBox="1"/>
      </xdr:nvSpPr>
      <xdr:spPr>
        <a:xfrm>
          <a:off x="1516395" y="5488198"/>
          <a:ext cx="2432246" cy="1008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200" b="1">
            <a:latin typeface="Delivery" panose="020F0503020204020204" pitchFamily="34" charset="0"/>
          </a:endParaRPr>
        </a:p>
      </xdr:txBody>
    </xdr:sp>
    <xdr:clientData/>
  </xdr:twoCellAnchor>
  <xdr:twoCellAnchor>
    <xdr:from>
      <xdr:col>2</xdr:col>
      <xdr:colOff>8506</xdr:colOff>
      <xdr:row>12</xdr:row>
      <xdr:rowOff>346034</xdr:rowOff>
    </xdr:from>
    <xdr:to>
      <xdr:col>5</xdr:col>
      <xdr:colOff>514350</xdr:colOff>
      <xdr:row>12</xdr:row>
      <xdr:rowOff>1038226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80F1D24-38FF-46D6-8136-A033C0C0EE0F}"/>
            </a:ext>
          </a:extLst>
        </xdr:cNvPr>
        <xdr:cNvSpPr txBox="1"/>
      </xdr:nvSpPr>
      <xdr:spPr>
        <a:xfrm>
          <a:off x="1046731" y="7689809"/>
          <a:ext cx="2791844" cy="6921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Entrega en 24/48 horas *</a:t>
          </a:r>
          <a:endParaRPr lang="es-ES" sz="1800">
            <a:effectLst/>
          </a:endParaRPr>
        </a:p>
        <a:p>
          <a:r>
            <a:rPr lang="es-E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España y Portugal</a:t>
          </a:r>
          <a:endParaRPr lang="es-ES" sz="1800">
            <a:effectLst/>
          </a:endParaRPr>
        </a:p>
      </xdr:txBody>
    </xdr:sp>
    <xdr:clientData/>
  </xdr:twoCellAnchor>
  <xdr:twoCellAnchor>
    <xdr:from>
      <xdr:col>0</xdr:col>
      <xdr:colOff>244500</xdr:colOff>
      <xdr:row>7</xdr:row>
      <xdr:rowOff>523873</xdr:rowOff>
    </xdr:from>
    <xdr:to>
      <xdr:col>8</xdr:col>
      <xdr:colOff>11338</xdr:colOff>
      <xdr:row>12</xdr:row>
      <xdr:rowOff>251730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C3BA44E-9F37-40B0-B0D6-CEC338871D4E}"/>
            </a:ext>
          </a:extLst>
        </xdr:cNvPr>
        <xdr:cNvSpPr txBox="1"/>
      </xdr:nvSpPr>
      <xdr:spPr>
        <a:xfrm>
          <a:off x="244500" y="6153148"/>
          <a:ext cx="5043688" cy="1442357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DHL Parcel</a:t>
          </a:r>
          <a:r>
            <a:rPr lang="es-E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Europlus Doméstico es un </a:t>
          </a:r>
          <a:r>
            <a:rPr lang="es-E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terrestre de entrega a empresas en España y  Portugal.  </a:t>
          </a:r>
          <a:r>
            <a:rPr lang="es-E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DHL Parcel ofrecemos soluciones integradas en tu proceso de negocio haciendo que enviar tus paquetes sea rápido  y  sencillo.</a:t>
          </a:r>
          <a:endParaRPr lang="es-ES" sz="1400">
            <a:latin typeface="+mn-lt"/>
          </a:endParaRPr>
        </a:p>
      </xdr:txBody>
    </xdr:sp>
    <xdr:clientData/>
  </xdr:twoCellAnchor>
  <xdr:twoCellAnchor>
    <xdr:from>
      <xdr:col>0</xdr:col>
      <xdr:colOff>13074</xdr:colOff>
      <xdr:row>16</xdr:row>
      <xdr:rowOff>667994</xdr:rowOff>
    </xdr:from>
    <xdr:to>
      <xdr:col>11</xdr:col>
      <xdr:colOff>696313</xdr:colOff>
      <xdr:row>17</xdr:row>
      <xdr:rowOff>59880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3392AC-1E3D-4D38-ADB0-10C099DF8D4C}"/>
            </a:ext>
          </a:extLst>
        </xdr:cNvPr>
        <xdr:cNvSpPr txBox="1"/>
      </xdr:nvSpPr>
      <xdr:spPr>
        <a:xfrm>
          <a:off x="13074" y="13536269"/>
          <a:ext cx="8007964" cy="534886"/>
        </a:xfrm>
        <a:prstGeom prst="rect">
          <a:avLst/>
        </a:prstGeom>
        <a:solidFill>
          <a:srgbClr val="EAEAE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latin typeface="Calibri" panose="020F0502020204030204" pitchFamily="34" charset="0"/>
              <a:cs typeface="Calibri" panose="020F0502020204030204" pitchFamily="34" charset="0"/>
            </a:rPr>
            <a:t>Especificaciones</a:t>
          </a:r>
          <a:r>
            <a:rPr lang="es-ES" sz="1400" b="1" baseline="0">
              <a:latin typeface="Calibri" panose="020F0502020204030204" pitchFamily="34" charset="0"/>
              <a:cs typeface="Calibri" panose="020F0502020204030204" pitchFamily="34" charset="0"/>
            </a:rPr>
            <a:t> del servicio DHL Parcel Europlus Doméstico</a:t>
          </a:r>
          <a:endParaRPr lang="es-ES" sz="14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254001</xdr:colOff>
      <xdr:row>38</xdr:row>
      <xdr:rowOff>1781</xdr:rowOff>
    </xdr:from>
    <xdr:to>
      <xdr:col>11</xdr:col>
      <xdr:colOff>603251</xdr:colOff>
      <xdr:row>48</xdr:row>
      <xdr:rowOff>8368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C6C5D48-F144-448F-89DD-4EC0C669BCC9}"/>
            </a:ext>
          </a:extLst>
        </xdr:cNvPr>
        <xdr:cNvSpPr txBox="1"/>
      </xdr:nvSpPr>
      <xdr:spPr>
        <a:xfrm>
          <a:off x="254001" y="17784956"/>
          <a:ext cx="7673975" cy="1625837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s-ES" sz="1000">
              <a:latin typeface="+mn-lt"/>
            </a:rPr>
            <a:t>1º</a:t>
          </a:r>
          <a:r>
            <a:rPr lang="es-ES" sz="1000" baseline="0">
              <a:latin typeface="+mn-lt"/>
            </a:rPr>
            <a:t> Los envíos internacionales están sometidos al régimen establecido en el Convenio CMR.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2º La legislación portuguesa obliga a que toda la mercancia que viaje dentro del país vaya acompañada de la correspondiente factura por triplicado,  es preferible que vaya en sobres "Packing List" o "Contiene Documentación",o que los bienes transportados sean acompañados del correspondiente código numérico atribuido por la Autoridad Tributaria.</a:t>
          </a:r>
          <a:endParaRPr lang="es-ES" sz="1000" baseline="0">
            <a:latin typeface="+mn-lt"/>
          </a:endParaRPr>
        </a:p>
        <a:p>
          <a:pPr algn="just"/>
          <a:r>
            <a:rPr lang="es-ES" sz="1000" baseline="0">
              <a:latin typeface="+mn-lt"/>
            </a:rPr>
            <a:t>3º Reembolso. El servicio de gestión de cobro de las mercancías con cláusula "Contra reembolso" tiene un suplemento. El consignatario deberá entregar un cheque bancario internacional a nombre del remitente. </a:t>
          </a:r>
          <a:endParaRPr lang="es-ES" sz="10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endParaRPr lang="es-ES" sz="1000">
            <a:latin typeface="+mn-lt"/>
          </a:endParaRPr>
        </a:p>
      </xdr:txBody>
    </xdr:sp>
    <xdr:clientData/>
  </xdr:twoCellAnchor>
  <xdr:twoCellAnchor>
    <xdr:from>
      <xdr:col>0</xdr:col>
      <xdr:colOff>264583</xdr:colOff>
      <xdr:row>53</xdr:row>
      <xdr:rowOff>43573</xdr:rowOff>
    </xdr:from>
    <xdr:to>
      <xdr:col>11</xdr:col>
      <xdr:colOff>649941</xdr:colOff>
      <xdr:row>59</xdr:row>
      <xdr:rowOff>126995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D36AEF7-111F-40E7-9591-987DE42C163A}"/>
            </a:ext>
          </a:extLst>
        </xdr:cNvPr>
        <xdr:cNvSpPr txBox="1"/>
      </xdr:nvSpPr>
      <xdr:spPr>
        <a:xfrm>
          <a:off x="264583" y="20255623"/>
          <a:ext cx="7710083" cy="1054972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" sz="1000" b="1">
              <a:latin typeface="+mn-lt"/>
            </a:rPr>
            <a:t>Documentacion</a:t>
          </a:r>
          <a:r>
            <a:rPr lang="es-ES" sz="1000" b="1" baseline="0">
              <a:latin typeface="+mn-lt"/>
            </a:rPr>
            <a:t> necesaria:</a:t>
          </a:r>
          <a:br>
            <a:rPr lang="es-ES" sz="1000" b="1" baseline="0">
              <a:latin typeface="+mn-lt"/>
            </a:rPr>
          </a:br>
          <a:endParaRPr lang="es-ES" sz="1000" b="1" baseline="0">
            <a:latin typeface="+mn-lt"/>
          </a:endParaRPr>
        </a:p>
        <a:p>
          <a:pPr algn="just"/>
          <a:r>
            <a:rPr lang="es-ES" sz="1000" baseline="0">
              <a:latin typeface="+mn-lt"/>
            </a:rPr>
            <a:t>1º Factura original de compra-venta, más tres copias. Especificar claramente todos los datos fiscales del remitente y el consignatario y el valor de la mercancía, la cual debe acompañar al envío. </a:t>
          </a:r>
        </a:p>
        <a:p>
          <a:pPr algn="just"/>
          <a:r>
            <a:rPr lang="es-ES" sz="1000" baseline="0">
              <a:latin typeface="+mn-lt"/>
            </a:rPr>
            <a:t>2º Si se trata de una operación no comercial, se debe acompañar una declaración jurada del remitente, explicando el motivo de dicho envío, detallando el contenido y afirmando que se trata de un envío no comercial. </a:t>
          </a:r>
          <a:endParaRPr lang="es-ES" sz="1000">
            <a:latin typeface="+mn-lt"/>
          </a:endParaRPr>
        </a:p>
      </xdr:txBody>
    </xdr:sp>
    <xdr:clientData/>
  </xdr:twoCellAnchor>
  <xdr:twoCellAnchor>
    <xdr:from>
      <xdr:col>0</xdr:col>
      <xdr:colOff>254002</xdr:colOff>
      <xdr:row>65</xdr:row>
      <xdr:rowOff>64739</xdr:rowOff>
    </xdr:from>
    <xdr:to>
      <xdr:col>11</xdr:col>
      <xdr:colOff>476252</xdr:colOff>
      <xdr:row>76</xdr:row>
      <xdr:rowOff>74076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2628BE7-1D53-4E01-AD0B-4C40C47576CD}"/>
            </a:ext>
          </a:extLst>
        </xdr:cNvPr>
        <xdr:cNvSpPr txBox="1"/>
      </xdr:nvSpPr>
      <xdr:spPr>
        <a:xfrm>
          <a:off x="254002" y="22219889"/>
          <a:ext cx="7546975" cy="1866712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s-E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1º Si no se especifica en la declaración de expedición, el servicio será el servicio Aéreo Urgente. </a:t>
          </a:r>
        </a:p>
        <a:p>
          <a:pPr algn="just"/>
          <a:r>
            <a:rPr lang="es-ES" sz="10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es-E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º Envíos a Canarias exentos de IVA.</a:t>
          </a:r>
        </a:p>
        <a:p>
          <a:pPr algn="just"/>
          <a:r>
            <a:rPr lang="es-E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3º Se considera mercancia voluminosa y es facturada como tal aquella que no supere el ratio de 200 kg  por metro cúbico.</a:t>
          </a:r>
        </a:p>
        <a:p>
          <a:pPr algn="just"/>
          <a:endParaRPr lang="es-ES" sz="10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es-ES" sz="1000" b="1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Calibri" panose="020F0502020204030204" pitchFamily="34" charset="0"/>
            </a:rPr>
            <a:t>Documentación necesaria:</a:t>
          </a:r>
        </a:p>
        <a:p>
          <a:pPr algn="just"/>
          <a:endParaRPr lang="es-ES" sz="10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es-E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1º Todos los envíos a Canarias han de ir acompañados de la documentación necesaria para proceder al despacho de aduanas tanto en origen como en destino. </a:t>
          </a:r>
        </a:p>
        <a:p>
          <a:pPr algn="just"/>
          <a:r>
            <a:rPr lang="es-E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2º Los envíos a Azores y Madeira no requieren despacho de aduanas. </a:t>
          </a:r>
        </a:p>
        <a:p>
          <a:pPr algn="just"/>
          <a:endParaRPr lang="es-ES" sz="1000" baseline="0">
            <a:solidFill>
              <a:schemeClr val="dk1"/>
            </a:solidFill>
            <a:latin typeface="+mj-lt"/>
            <a:ea typeface="+mn-ea"/>
            <a:cs typeface="+mn-cs"/>
          </a:endParaRPr>
        </a:p>
        <a:p>
          <a:pPr algn="just"/>
          <a:endParaRPr lang="es-ES" sz="1000" baseline="0">
            <a:solidFill>
              <a:schemeClr val="dk1"/>
            </a:solidFill>
            <a:latin typeface="+mj-lt"/>
            <a:ea typeface="+mn-ea"/>
            <a:cs typeface="+mn-cs"/>
          </a:endParaRPr>
        </a:p>
      </xdr:txBody>
    </xdr:sp>
    <xdr:clientData/>
  </xdr:twoCellAnchor>
  <xdr:oneCellAnchor>
    <xdr:from>
      <xdr:col>10</xdr:col>
      <xdr:colOff>73770</xdr:colOff>
      <xdr:row>78</xdr:row>
      <xdr:rowOff>122261</xdr:rowOff>
    </xdr:from>
    <xdr:ext cx="1021605" cy="197117"/>
    <xdr:pic>
      <xdr:nvPicPr>
        <xdr:cNvPr id="14" name="Picture 13" descr="DHL_rgb_BG.png">
          <a:extLst>
            <a:ext uri="{FF2B5EF4-FFF2-40B4-BE49-F238E27FC236}">
              <a16:creationId xmlns:a16="http://schemas.microsoft.com/office/drawing/2014/main" id="{A845728B-B736-4409-85A1-DDAC2E885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45995" y="24458636"/>
          <a:ext cx="1021605" cy="197117"/>
        </a:xfrm>
        <a:prstGeom prst="rect">
          <a:avLst/>
        </a:prstGeom>
      </xdr:spPr>
    </xdr:pic>
    <xdr:clientData/>
  </xdr:oneCellAnchor>
  <xdr:twoCellAnchor>
    <xdr:from>
      <xdr:col>2</xdr:col>
      <xdr:colOff>36561</xdr:colOff>
      <xdr:row>12</xdr:row>
      <xdr:rowOff>2588817</xdr:rowOff>
    </xdr:from>
    <xdr:to>
      <xdr:col>5</xdr:col>
      <xdr:colOff>13607</xdr:colOff>
      <xdr:row>12</xdr:row>
      <xdr:rowOff>3156857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A7D8085-2273-4865-9619-28F379A29C75}"/>
            </a:ext>
          </a:extLst>
        </xdr:cNvPr>
        <xdr:cNvSpPr txBox="1"/>
      </xdr:nvSpPr>
      <xdr:spPr>
        <a:xfrm>
          <a:off x="1074786" y="9932592"/>
          <a:ext cx="2263046" cy="568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latin typeface="+mn-lt"/>
            </a:rPr>
            <a:t>Recogida y entrega de tus </a:t>
          </a:r>
        </a:p>
        <a:p>
          <a:r>
            <a:rPr lang="es-ES" sz="1400" b="1">
              <a:latin typeface="+mn-lt"/>
            </a:rPr>
            <a:t>envios puerta a puerta</a:t>
          </a:r>
        </a:p>
      </xdr:txBody>
    </xdr:sp>
    <xdr:clientData/>
  </xdr:twoCellAnchor>
  <xdr:oneCellAnchor>
    <xdr:from>
      <xdr:col>10</xdr:col>
      <xdr:colOff>73770</xdr:colOff>
      <xdr:row>13</xdr:row>
      <xdr:rowOff>122261</xdr:rowOff>
    </xdr:from>
    <xdr:ext cx="1021605" cy="197117"/>
    <xdr:pic>
      <xdr:nvPicPr>
        <xdr:cNvPr id="16" name="Picture 15" descr="DHL_rgb_BG.png">
          <a:extLst>
            <a:ext uri="{FF2B5EF4-FFF2-40B4-BE49-F238E27FC236}">
              <a16:creationId xmlns:a16="http://schemas.microsoft.com/office/drawing/2014/main" id="{97681538-ED6B-464E-BA22-8CD640A5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45995" y="12076136"/>
          <a:ext cx="1021605" cy="197117"/>
        </a:xfrm>
        <a:prstGeom prst="rect">
          <a:avLst/>
        </a:prstGeom>
      </xdr:spPr>
    </xdr:pic>
    <xdr:clientData/>
  </xdr:oneCellAnchor>
  <xdr:twoCellAnchor editAs="oneCell">
    <xdr:from>
      <xdr:col>1</xdr:col>
      <xdr:colOff>154504</xdr:colOff>
      <xdr:row>12</xdr:row>
      <xdr:rowOff>374475</xdr:rowOff>
    </xdr:from>
    <xdr:to>
      <xdr:col>1</xdr:col>
      <xdr:colOff>639535</xdr:colOff>
      <xdr:row>12</xdr:row>
      <xdr:rowOff>884792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85DC8D3-5156-49F8-B9CB-7FDEA8596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729" y="7718250"/>
          <a:ext cx="485031" cy="510317"/>
        </a:xfrm>
        <a:prstGeom prst="rect">
          <a:avLst/>
        </a:prstGeom>
        <a:solidFill>
          <a:srgbClr val="FFC000"/>
        </a:solidFill>
      </xdr:spPr>
    </xdr:pic>
    <xdr:clientData/>
  </xdr:twoCellAnchor>
  <xdr:twoCellAnchor>
    <xdr:from>
      <xdr:col>2</xdr:col>
      <xdr:colOff>11228</xdr:colOff>
      <xdr:row>12</xdr:row>
      <xdr:rowOff>1450933</xdr:rowOff>
    </xdr:from>
    <xdr:to>
      <xdr:col>5</xdr:col>
      <xdr:colOff>418883</xdr:colOff>
      <xdr:row>12</xdr:row>
      <xdr:rowOff>2452242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0E60E05-35D9-4427-B720-044AB03605FD}"/>
            </a:ext>
          </a:extLst>
        </xdr:cNvPr>
        <xdr:cNvSpPr txBox="1"/>
      </xdr:nvSpPr>
      <xdr:spPr>
        <a:xfrm>
          <a:off x="1049453" y="8794708"/>
          <a:ext cx="2693655" cy="1001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 baseline="0">
              <a:latin typeface="+mn-lt"/>
            </a:rPr>
            <a:t>Envío de paquetes,</a:t>
          </a:r>
        </a:p>
        <a:p>
          <a:r>
            <a:rPr lang="es-ES" sz="1400" b="1" baseline="0">
              <a:latin typeface="+mn-lt"/>
            </a:rPr>
            <a:t>multibultos y palets</a:t>
          </a:r>
        </a:p>
      </xdr:txBody>
    </xdr:sp>
    <xdr:clientData/>
  </xdr:twoCellAnchor>
  <xdr:twoCellAnchor editAs="oneCell">
    <xdr:from>
      <xdr:col>1</xdr:col>
      <xdr:colOff>157226</xdr:colOff>
      <xdr:row>12</xdr:row>
      <xdr:rowOff>1479375</xdr:rowOff>
    </xdr:from>
    <xdr:to>
      <xdr:col>1</xdr:col>
      <xdr:colOff>642257</xdr:colOff>
      <xdr:row>12</xdr:row>
      <xdr:rowOff>1989692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8F83250-FC3A-47D0-99C6-78D1EA9E8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451" y="8823150"/>
          <a:ext cx="485031" cy="510317"/>
        </a:xfrm>
        <a:prstGeom prst="rect">
          <a:avLst/>
        </a:prstGeom>
        <a:solidFill>
          <a:srgbClr val="FFC000"/>
        </a:solidFill>
      </xdr:spPr>
    </xdr:pic>
    <xdr:clientData/>
  </xdr:twoCellAnchor>
  <xdr:twoCellAnchor editAs="oneCell">
    <xdr:from>
      <xdr:col>1</xdr:col>
      <xdr:colOff>179400</xdr:colOff>
      <xdr:row>12</xdr:row>
      <xdr:rowOff>1539589</xdr:rowOff>
    </xdr:from>
    <xdr:to>
      <xdr:col>1</xdr:col>
      <xdr:colOff>598714</xdr:colOff>
      <xdr:row>12</xdr:row>
      <xdr:rowOff>1939644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E017309-9E32-42FD-9632-A676B77B7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625" y="8883364"/>
          <a:ext cx="419314" cy="400055"/>
        </a:xfrm>
        <a:prstGeom prst="rect">
          <a:avLst/>
        </a:prstGeom>
      </xdr:spPr>
    </xdr:pic>
    <xdr:clientData/>
  </xdr:twoCellAnchor>
  <xdr:twoCellAnchor>
    <xdr:from>
      <xdr:col>1</xdr:col>
      <xdr:colOff>222160</xdr:colOff>
      <xdr:row>12</xdr:row>
      <xdr:rowOff>438173</xdr:rowOff>
    </xdr:from>
    <xdr:to>
      <xdr:col>1</xdr:col>
      <xdr:colOff>544286</xdr:colOff>
      <xdr:row>12</xdr:row>
      <xdr:rowOff>827206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95F3555A-446B-4B34-B5AF-1DE3A1F3F324}"/>
            </a:ext>
          </a:extLst>
        </xdr:cNvPr>
        <xdr:cNvGrpSpPr/>
      </xdr:nvGrpSpPr>
      <xdr:grpSpPr>
        <a:xfrm>
          <a:off x="500066" y="7860949"/>
          <a:ext cx="322126" cy="389033"/>
          <a:chOff x="4894261" y="1993900"/>
          <a:chExt cx="471487" cy="569913"/>
        </a:xfrm>
      </xdr:grpSpPr>
      <xdr:sp macro="" textlink="">
        <xdr:nvSpPr>
          <xdr:cNvPr id="22" name="Freeform 22">
            <a:extLst>
              <a:ext uri="{FF2B5EF4-FFF2-40B4-BE49-F238E27FC236}">
                <a16:creationId xmlns:a16="http://schemas.microsoft.com/office/drawing/2014/main" id="{FA3B5C98-16C2-7091-1B6B-1774C2667F98}"/>
              </a:ext>
            </a:extLst>
          </xdr:cNvPr>
          <xdr:cNvSpPr>
            <a:spLocks noEditPoints="1"/>
          </xdr:cNvSpPr>
        </xdr:nvSpPr>
        <xdr:spPr bwMode="auto">
          <a:xfrm>
            <a:off x="4894261" y="2090738"/>
            <a:ext cx="471487" cy="473075"/>
          </a:xfrm>
          <a:custGeom>
            <a:avLst/>
            <a:gdLst>
              <a:gd name="T0" fmla="*/ 63 w 126"/>
              <a:gd name="T1" fmla="*/ 0 h 126"/>
              <a:gd name="T2" fmla="*/ 0 w 126"/>
              <a:gd name="T3" fmla="*/ 63 h 126"/>
              <a:gd name="T4" fmla="*/ 63 w 126"/>
              <a:gd name="T5" fmla="*/ 126 h 126"/>
              <a:gd name="T6" fmla="*/ 126 w 126"/>
              <a:gd name="T7" fmla="*/ 63 h 126"/>
              <a:gd name="T8" fmla="*/ 63 w 126"/>
              <a:gd name="T9" fmla="*/ 0 h 126"/>
              <a:gd name="T10" fmla="*/ 63 w 126"/>
              <a:gd name="T11" fmla="*/ 109 h 126"/>
              <a:gd name="T12" fmla="*/ 17 w 126"/>
              <a:gd name="T13" fmla="*/ 63 h 126"/>
              <a:gd name="T14" fmla="*/ 63 w 126"/>
              <a:gd name="T15" fmla="*/ 16 h 126"/>
              <a:gd name="T16" fmla="*/ 110 w 126"/>
              <a:gd name="T17" fmla="*/ 63 h 126"/>
              <a:gd name="T18" fmla="*/ 63 w 126"/>
              <a:gd name="T19" fmla="*/ 109 h 1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26" h="126">
                <a:moveTo>
                  <a:pt x="63" y="0"/>
                </a:moveTo>
                <a:cubicBezTo>
                  <a:pt x="28" y="0"/>
                  <a:pt x="0" y="28"/>
                  <a:pt x="0" y="63"/>
                </a:cubicBezTo>
                <a:cubicBezTo>
                  <a:pt x="0" y="98"/>
                  <a:pt x="28" y="126"/>
                  <a:pt x="63" y="126"/>
                </a:cubicBezTo>
                <a:cubicBezTo>
                  <a:pt x="98" y="126"/>
                  <a:pt x="126" y="98"/>
                  <a:pt x="126" y="63"/>
                </a:cubicBezTo>
                <a:cubicBezTo>
                  <a:pt x="126" y="28"/>
                  <a:pt x="98" y="0"/>
                  <a:pt x="63" y="0"/>
                </a:cubicBezTo>
                <a:close/>
                <a:moveTo>
                  <a:pt x="63" y="109"/>
                </a:moveTo>
                <a:cubicBezTo>
                  <a:pt x="37" y="109"/>
                  <a:pt x="17" y="89"/>
                  <a:pt x="17" y="63"/>
                </a:cubicBezTo>
                <a:cubicBezTo>
                  <a:pt x="17" y="37"/>
                  <a:pt x="37" y="16"/>
                  <a:pt x="63" y="16"/>
                </a:cubicBezTo>
                <a:cubicBezTo>
                  <a:pt x="89" y="16"/>
                  <a:pt x="110" y="37"/>
                  <a:pt x="110" y="63"/>
                </a:cubicBezTo>
                <a:cubicBezTo>
                  <a:pt x="110" y="89"/>
                  <a:pt x="89" y="109"/>
                  <a:pt x="63" y="109"/>
                </a:cubicBezTo>
                <a:close/>
              </a:path>
            </a:pathLst>
          </a:custGeom>
          <a:solidFill>
            <a:srgbClr val="D3072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23" name="Freeform 23">
            <a:extLst>
              <a:ext uri="{FF2B5EF4-FFF2-40B4-BE49-F238E27FC236}">
                <a16:creationId xmlns:a16="http://schemas.microsoft.com/office/drawing/2014/main" id="{E83F0E6D-4B53-7E00-29F7-E06853ACA2CA}"/>
              </a:ext>
            </a:extLst>
          </xdr:cNvPr>
          <xdr:cNvSpPr>
            <a:spLocks/>
          </xdr:cNvSpPr>
        </xdr:nvSpPr>
        <xdr:spPr bwMode="auto">
          <a:xfrm>
            <a:off x="5087938" y="1993900"/>
            <a:ext cx="82550" cy="63500"/>
          </a:xfrm>
          <a:custGeom>
            <a:avLst/>
            <a:gdLst>
              <a:gd name="T0" fmla="*/ 22 w 22"/>
              <a:gd name="T1" fmla="*/ 17 h 17"/>
              <a:gd name="T2" fmla="*/ 0 w 22"/>
              <a:gd name="T3" fmla="*/ 17 h 17"/>
              <a:gd name="T4" fmla="*/ 0 w 22"/>
              <a:gd name="T5" fmla="*/ 0 h 17"/>
              <a:gd name="T6" fmla="*/ 22 w 22"/>
              <a:gd name="T7" fmla="*/ 0 h 17"/>
              <a:gd name="T8" fmla="*/ 22 w 22"/>
              <a:gd name="T9" fmla="*/ 17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2" h="17">
                <a:moveTo>
                  <a:pt x="22" y="17"/>
                </a:moveTo>
                <a:cubicBezTo>
                  <a:pt x="14" y="15"/>
                  <a:pt x="0" y="17"/>
                  <a:pt x="0" y="17"/>
                </a:cubicBezTo>
                <a:cubicBezTo>
                  <a:pt x="0" y="0"/>
                  <a:pt x="0" y="0"/>
                  <a:pt x="0" y="0"/>
                </a:cubicBezTo>
                <a:cubicBezTo>
                  <a:pt x="22" y="0"/>
                  <a:pt x="22" y="0"/>
                  <a:pt x="22" y="0"/>
                </a:cubicBezTo>
                <a:cubicBezTo>
                  <a:pt x="22" y="0"/>
                  <a:pt x="22" y="15"/>
                  <a:pt x="22" y="17"/>
                </a:cubicBezTo>
                <a:close/>
              </a:path>
            </a:pathLst>
          </a:custGeom>
          <a:solidFill>
            <a:srgbClr val="D3072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24" name="Freeform 24">
            <a:extLst>
              <a:ext uri="{FF2B5EF4-FFF2-40B4-BE49-F238E27FC236}">
                <a16:creationId xmlns:a16="http://schemas.microsoft.com/office/drawing/2014/main" id="{8E91F904-07A5-4A68-5487-3F7A7607AB1E}"/>
              </a:ext>
            </a:extLst>
          </xdr:cNvPr>
          <xdr:cNvSpPr>
            <a:spLocks/>
          </xdr:cNvSpPr>
        </xdr:nvSpPr>
        <xdr:spPr bwMode="auto">
          <a:xfrm>
            <a:off x="5260975" y="2046288"/>
            <a:ext cx="71437" cy="71438"/>
          </a:xfrm>
          <a:custGeom>
            <a:avLst/>
            <a:gdLst>
              <a:gd name="T0" fmla="*/ 12 w 19"/>
              <a:gd name="T1" fmla="*/ 19 h 19"/>
              <a:gd name="T2" fmla="*/ 0 w 19"/>
              <a:gd name="T3" fmla="*/ 11 h 19"/>
              <a:gd name="T4" fmla="*/ 7 w 19"/>
              <a:gd name="T5" fmla="*/ 0 h 19"/>
              <a:gd name="T6" fmla="*/ 19 w 19"/>
              <a:gd name="T7" fmla="*/ 8 h 19"/>
              <a:gd name="T8" fmla="*/ 12 w 19"/>
              <a:gd name="T9" fmla="*/ 19 h 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19" h="19">
                <a:moveTo>
                  <a:pt x="12" y="19"/>
                </a:moveTo>
                <a:cubicBezTo>
                  <a:pt x="9" y="16"/>
                  <a:pt x="0" y="11"/>
                  <a:pt x="0" y="11"/>
                </a:cubicBezTo>
                <a:cubicBezTo>
                  <a:pt x="7" y="0"/>
                  <a:pt x="7" y="0"/>
                  <a:pt x="7" y="0"/>
                </a:cubicBezTo>
                <a:cubicBezTo>
                  <a:pt x="19" y="8"/>
                  <a:pt x="19" y="8"/>
                  <a:pt x="19" y="8"/>
                </a:cubicBezTo>
                <a:cubicBezTo>
                  <a:pt x="19" y="8"/>
                  <a:pt x="12" y="18"/>
                  <a:pt x="12" y="19"/>
                </a:cubicBezTo>
                <a:close/>
              </a:path>
            </a:pathLst>
          </a:custGeom>
          <a:solidFill>
            <a:srgbClr val="D3072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AF1E781D-453C-7D43-C83B-1D893457F7CC}"/>
              </a:ext>
            </a:extLst>
          </xdr:cNvPr>
          <xdr:cNvSpPr>
            <a:spLocks noChangeArrowheads="1"/>
          </xdr:cNvSpPr>
        </xdr:nvSpPr>
        <xdr:spPr bwMode="auto">
          <a:xfrm>
            <a:off x="4979988" y="2312988"/>
            <a:ext cx="38100" cy="25400"/>
          </a:xfrm>
          <a:prstGeom prst="rect">
            <a:avLst/>
          </a:prstGeom>
          <a:solidFill>
            <a:srgbClr val="D3072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C9B3A65-870E-676C-DD43-342DAEEDC23B}"/>
              </a:ext>
            </a:extLst>
          </xdr:cNvPr>
          <xdr:cNvSpPr>
            <a:spLocks noChangeArrowheads="1"/>
          </xdr:cNvSpPr>
        </xdr:nvSpPr>
        <xdr:spPr bwMode="auto">
          <a:xfrm>
            <a:off x="5118100" y="2439988"/>
            <a:ext cx="26987" cy="38100"/>
          </a:xfrm>
          <a:prstGeom prst="rect">
            <a:avLst/>
          </a:prstGeom>
          <a:solidFill>
            <a:srgbClr val="D3072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5A74802D-A5F7-FE7E-337D-32E5FA189BBA}"/>
              </a:ext>
            </a:extLst>
          </xdr:cNvPr>
          <xdr:cNvSpPr>
            <a:spLocks noChangeArrowheads="1"/>
          </xdr:cNvSpPr>
        </xdr:nvSpPr>
        <xdr:spPr bwMode="auto">
          <a:xfrm>
            <a:off x="5246688" y="2312988"/>
            <a:ext cx="36512" cy="25400"/>
          </a:xfrm>
          <a:prstGeom prst="rect">
            <a:avLst/>
          </a:prstGeom>
          <a:solidFill>
            <a:srgbClr val="D3072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28" name="Freeform 28">
            <a:extLst>
              <a:ext uri="{FF2B5EF4-FFF2-40B4-BE49-F238E27FC236}">
                <a16:creationId xmlns:a16="http://schemas.microsoft.com/office/drawing/2014/main" id="{F2CA1900-9085-8A22-45BA-E8E4325405A9}"/>
              </a:ext>
            </a:extLst>
          </xdr:cNvPr>
          <xdr:cNvSpPr>
            <a:spLocks/>
          </xdr:cNvSpPr>
        </xdr:nvSpPr>
        <xdr:spPr bwMode="auto">
          <a:xfrm>
            <a:off x="5013325" y="2211388"/>
            <a:ext cx="46037" cy="41275"/>
          </a:xfrm>
          <a:custGeom>
            <a:avLst/>
            <a:gdLst>
              <a:gd name="T0" fmla="*/ 17 w 29"/>
              <a:gd name="T1" fmla="*/ 26 h 26"/>
              <a:gd name="T2" fmla="*/ 0 w 29"/>
              <a:gd name="T3" fmla="*/ 12 h 26"/>
              <a:gd name="T4" fmla="*/ 12 w 29"/>
              <a:gd name="T5" fmla="*/ 0 h 26"/>
              <a:gd name="T6" fmla="*/ 29 w 29"/>
              <a:gd name="T7" fmla="*/ 14 h 26"/>
              <a:gd name="T8" fmla="*/ 17 w 29"/>
              <a:gd name="T9" fmla="*/ 26 h 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9" h="26">
                <a:moveTo>
                  <a:pt x="17" y="26"/>
                </a:moveTo>
                <a:lnTo>
                  <a:pt x="0" y="12"/>
                </a:lnTo>
                <a:lnTo>
                  <a:pt x="12" y="0"/>
                </a:lnTo>
                <a:lnTo>
                  <a:pt x="29" y="14"/>
                </a:lnTo>
                <a:lnTo>
                  <a:pt x="17" y="26"/>
                </a:lnTo>
                <a:close/>
              </a:path>
            </a:pathLst>
          </a:custGeom>
          <a:solidFill>
            <a:srgbClr val="D3072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29" name="Freeform 29">
            <a:extLst>
              <a:ext uri="{FF2B5EF4-FFF2-40B4-BE49-F238E27FC236}">
                <a16:creationId xmlns:a16="http://schemas.microsoft.com/office/drawing/2014/main" id="{1308AD6C-E58B-DF7C-D10D-9843B5DE97D3}"/>
              </a:ext>
            </a:extLst>
          </xdr:cNvPr>
          <xdr:cNvSpPr>
            <a:spLocks/>
          </xdr:cNvSpPr>
        </xdr:nvSpPr>
        <xdr:spPr bwMode="auto">
          <a:xfrm>
            <a:off x="5205413" y="2211388"/>
            <a:ext cx="41275" cy="41275"/>
          </a:xfrm>
          <a:custGeom>
            <a:avLst/>
            <a:gdLst>
              <a:gd name="T0" fmla="*/ 11 w 26"/>
              <a:gd name="T1" fmla="*/ 26 h 26"/>
              <a:gd name="T2" fmla="*/ 26 w 26"/>
              <a:gd name="T3" fmla="*/ 12 h 26"/>
              <a:gd name="T4" fmla="*/ 14 w 26"/>
              <a:gd name="T5" fmla="*/ 0 h 26"/>
              <a:gd name="T6" fmla="*/ 0 w 26"/>
              <a:gd name="T7" fmla="*/ 14 h 26"/>
              <a:gd name="T8" fmla="*/ 11 w 26"/>
              <a:gd name="T9" fmla="*/ 26 h 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6" h="26">
                <a:moveTo>
                  <a:pt x="11" y="26"/>
                </a:moveTo>
                <a:lnTo>
                  <a:pt x="26" y="12"/>
                </a:lnTo>
                <a:lnTo>
                  <a:pt x="14" y="0"/>
                </a:lnTo>
                <a:lnTo>
                  <a:pt x="0" y="14"/>
                </a:lnTo>
                <a:lnTo>
                  <a:pt x="11" y="26"/>
                </a:lnTo>
                <a:close/>
              </a:path>
            </a:pathLst>
          </a:custGeom>
          <a:solidFill>
            <a:srgbClr val="D3072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30" name="Freeform 30">
            <a:extLst>
              <a:ext uri="{FF2B5EF4-FFF2-40B4-BE49-F238E27FC236}">
                <a16:creationId xmlns:a16="http://schemas.microsoft.com/office/drawing/2014/main" id="{DF34DE2B-B788-8859-5DF3-C8A756169AB5}"/>
              </a:ext>
            </a:extLst>
          </xdr:cNvPr>
          <xdr:cNvSpPr>
            <a:spLocks/>
          </xdr:cNvSpPr>
        </xdr:nvSpPr>
        <xdr:spPr bwMode="auto">
          <a:xfrm>
            <a:off x="5013325" y="2398713"/>
            <a:ext cx="46037" cy="41275"/>
          </a:xfrm>
          <a:custGeom>
            <a:avLst/>
            <a:gdLst>
              <a:gd name="T0" fmla="*/ 17 w 29"/>
              <a:gd name="T1" fmla="*/ 0 h 26"/>
              <a:gd name="T2" fmla="*/ 0 w 29"/>
              <a:gd name="T3" fmla="*/ 14 h 26"/>
              <a:gd name="T4" fmla="*/ 12 w 29"/>
              <a:gd name="T5" fmla="*/ 26 h 26"/>
              <a:gd name="T6" fmla="*/ 29 w 29"/>
              <a:gd name="T7" fmla="*/ 12 h 26"/>
              <a:gd name="T8" fmla="*/ 17 w 29"/>
              <a:gd name="T9" fmla="*/ 0 h 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9" h="26">
                <a:moveTo>
                  <a:pt x="17" y="0"/>
                </a:moveTo>
                <a:lnTo>
                  <a:pt x="0" y="14"/>
                </a:lnTo>
                <a:lnTo>
                  <a:pt x="12" y="26"/>
                </a:lnTo>
                <a:lnTo>
                  <a:pt x="29" y="12"/>
                </a:lnTo>
                <a:lnTo>
                  <a:pt x="17" y="0"/>
                </a:lnTo>
                <a:close/>
              </a:path>
            </a:pathLst>
          </a:custGeom>
          <a:solidFill>
            <a:srgbClr val="D3072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31" name="Freeform 31">
            <a:extLst>
              <a:ext uri="{FF2B5EF4-FFF2-40B4-BE49-F238E27FC236}">
                <a16:creationId xmlns:a16="http://schemas.microsoft.com/office/drawing/2014/main" id="{C78C5DFA-6313-BF55-9512-B0D2D5CB8A3F}"/>
              </a:ext>
            </a:extLst>
          </xdr:cNvPr>
          <xdr:cNvSpPr>
            <a:spLocks/>
          </xdr:cNvSpPr>
        </xdr:nvSpPr>
        <xdr:spPr bwMode="auto">
          <a:xfrm>
            <a:off x="5205413" y="2398713"/>
            <a:ext cx="41275" cy="41275"/>
          </a:xfrm>
          <a:custGeom>
            <a:avLst/>
            <a:gdLst>
              <a:gd name="T0" fmla="*/ 11 w 26"/>
              <a:gd name="T1" fmla="*/ 0 h 26"/>
              <a:gd name="T2" fmla="*/ 26 w 26"/>
              <a:gd name="T3" fmla="*/ 14 h 26"/>
              <a:gd name="T4" fmla="*/ 14 w 26"/>
              <a:gd name="T5" fmla="*/ 26 h 26"/>
              <a:gd name="T6" fmla="*/ 0 w 26"/>
              <a:gd name="T7" fmla="*/ 12 h 26"/>
              <a:gd name="T8" fmla="*/ 11 w 26"/>
              <a:gd name="T9" fmla="*/ 0 h 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6" h="26">
                <a:moveTo>
                  <a:pt x="11" y="0"/>
                </a:moveTo>
                <a:lnTo>
                  <a:pt x="26" y="14"/>
                </a:lnTo>
                <a:lnTo>
                  <a:pt x="14" y="26"/>
                </a:lnTo>
                <a:lnTo>
                  <a:pt x="0" y="12"/>
                </a:lnTo>
                <a:lnTo>
                  <a:pt x="11" y="0"/>
                </a:lnTo>
                <a:close/>
              </a:path>
            </a:pathLst>
          </a:custGeom>
          <a:solidFill>
            <a:srgbClr val="D3072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32" name="Freeform 32">
            <a:extLst>
              <a:ext uri="{FF2B5EF4-FFF2-40B4-BE49-F238E27FC236}">
                <a16:creationId xmlns:a16="http://schemas.microsoft.com/office/drawing/2014/main" id="{1C6D8E75-F347-6F09-CBC2-CB912CE30527}"/>
              </a:ext>
            </a:extLst>
          </xdr:cNvPr>
          <xdr:cNvSpPr>
            <a:spLocks/>
          </xdr:cNvSpPr>
        </xdr:nvSpPr>
        <xdr:spPr bwMode="auto">
          <a:xfrm>
            <a:off x="5087938" y="2178050"/>
            <a:ext cx="87312" cy="204788"/>
          </a:xfrm>
          <a:custGeom>
            <a:avLst/>
            <a:gdLst>
              <a:gd name="T0" fmla="*/ 18 w 23"/>
              <a:gd name="T1" fmla="*/ 34 h 55"/>
              <a:gd name="T2" fmla="*/ 13 w 23"/>
              <a:gd name="T3" fmla="*/ 3 h 55"/>
              <a:gd name="T4" fmla="*/ 11 w 23"/>
              <a:gd name="T5" fmla="*/ 0 h 55"/>
              <a:gd name="T6" fmla="*/ 10 w 23"/>
              <a:gd name="T7" fmla="*/ 3 h 55"/>
              <a:gd name="T8" fmla="*/ 5 w 23"/>
              <a:gd name="T9" fmla="*/ 34 h 55"/>
              <a:gd name="T10" fmla="*/ 0 w 23"/>
              <a:gd name="T11" fmla="*/ 43 h 55"/>
              <a:gd name="T12" fmla="*/ 12 w 23"/>
              <a:gd name="T13" fmla="*/ 55 h 55"/>
              <a:gd name="T14" fmla="*/ 23 w 23"/>
              <a:gd name="T15" fmla="*/ 43 h 55"/>
              <a:gd name="T16" fmla="*/ 18 w 23"/>
              <a:gd name="T17" fmla="*/ 34 h 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3" h="55">
                <a:moveTo>
                  <a:pt x="18" y="34"/>
                </a:moveTo>
                <a:cubicBezTo>
                  <a:pt x="13" y="3"/>
                  <a:pt x="13" y="3"/>
                  <a:pt x="13" y="3"/>
                </a:cubicBezTo>
                <a:cubicBezTo>
                  <a:pt x="13" y="3"/>
                  <a:pt x="13" y="0"/>
                  <a:pt x="11" y="0"/>
                </a:cubicBezTo>
                <a:cubicBezTo>
                  <a:pt x="10" y="0"/>
                  <a:pt x="10" y="3"/>
                  <a:pt x="10" y="3"/>
                </a:cubicBezTo>
                <a:cubicBezTo>
                  <a:pt x="10" y="3"/>
                  <a:pt x="6" y="26"/>
                  <a:pt x="5" y="34"/>
                </a:cubicBezTo>
                <a:cubicBezTo>
                  <a:pt x="2" y="36"/>
                  <a:pt x="0" y="39"/>
                  <a:pt x="0" y="43"/>
                </a:cubicBezTo>
                <a:cubicBezTo>
                  <a:pt x="0" y="49"/>
                  <a:pt x="5" y="55"/>
                  <a:pt x="12" y="55"/>
                </a:cubicBezTo>
                <a:cubicBezTo>
                  <a:pt x="18" y="55"/>
                  <a:pt x="23" y="49"/>
                  <a:pt x="23" y="43"/>
                </a:cubicBezTo>
                <a:cubicBezTo>
                  <a:pt x="23" y="39"/>
                  <a:pt x="21" y="36"/>
                  <a:pt x="18" y="34"/>
                </a:cubicBezTo>
                <a:close/>
              </a:path>
            </a:pathLst>
          </a:custGeom>
          <a:solidFill>
            <a:srgbClr val="D3072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</xdr:grpSp>
    <xdr:clientData/>
  </xdr:twoCellAnchor>
  <xdr:twoCellAnchor editAs="oneCell">
    <xdr:from>
      <xdr:col>1</xdr:col>
      <xdr:colOff>146340</xdr:colOff>
      <xdr:row>12</xdr:row>
      <xdr:rowOff>2597882</xdr:rowOff>
    </xdr:from>
    <xdr:to>
      <xdr:col>1</xdr:col>
      <xdr:colOff>631371</xdr:colOff>
      <xdr:row>12</xdr:row>
      <xdr:rowOff>3108199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B223E8A-94A0-43F6-BE9B-208699CF3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565" y="9941657"/>
          <a:ext cx="485031" cy="510317"/>
        </a:xfrm>
        <a:prstGeom prst="rect">
          <a:avLst/>
        </a:prstGeom>
        <a:solidFill>
          <a:srgbClr val="FFC000"/>
        </a:solidFill>
      </xdr:spPr>
    </xdr:pic>
    <xdr:clientData/>
  </xdr:twoCellAnchor>
  <xdr:twoCellAnchor editAs="oneCell">
    <xdr:from>
      <xdr:col>1</xdr:col>
      <xdr:colOff>204232</xdr:colOff>
      <xdr:row>12</xdr:row>
      <xdr:rowOff>2651243</xdr:rowOff>
    </xdr:from>
    <xdr:to>
      <xdr:col>1</xdr:col>
      <xdr:colOff>588313</xdr:colOff>
      <xdr:row>12</xdr:row>
      <xdr:rowOff>3030995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FDBF10B-F8D0-4D2A-A99D-BEF6D0B9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457" y="9995018"/>
          <a:ext cx="384081" cy="379752"/>
        </a:xfrm>
        <a:prstGeom prst="rect">
          <a:avLst/>
        </a:prstGeom>
      </xdr:spPr>
    </xdr:pic>
    <xdr:clientData/>
  </xdr:twoCellAnchor>
  <xdr:twoCellAnchor>
    <xdr:from>
      <xdr:col>6</xdr:col>
      <xdr:colOff>471149</xdr:colOff>
      <xdr:row>12</xdr:row>
      <xdr:rowOff>346033</xdr:rowOff>
    </xdr:from>
    <xdr:to>
      <xdr:col>10</xdr:col>
      <xdr:colOff>870145</xdr:colOff>
      <xdr:row>12</xdr:row>
      <xdr:rowOff>1347342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C4BEB7E-4DE0-46B3-AF4D-9F4CF64F3BBB}"/>
            </a:ext>
          </a:extLst>
        </xdr:cNvPr>
        <xdr:cNvSpPr txBox="1"/>
      </xdr:nvSpPr>
      <xdr:spPr>
        <a:xfrm>
          <a:off x="4557374" y="7689808"/>
          <a:ext cx="2684996" cy="1001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 baseline="0">
              <a:latin typeface="+mn-lt"/>
            </a:rPr>
            <a:t>Un área de clientes para</a:t>
          </a:r>
        </a:p>
        <a:p>
          <a:r>
            <a:rPr lang="es-ES" sz="1400" b="1" baseline="0">
              <a:latin typeface="+mn-lt"/>
            </a:rPr>
            <a:t>gestionar tus envíos</a:t>
          </a:r>
        </a:p>
      </xdr:txBody>
    </xdr:sp>
    <xdr:clientData/>
  </xdr:twoCellAnchor>
  <xdr:twoCellAnchor>
    <xdr:from>
      <xdr:col>6</xdr:col>
      <xdr:colOff>518254</xdr:colOff>
      <xdr:row>12</xdr:row>
      <xdr:rowOff>1464867</xdr:rowOff>
    </xdr:from>
    <xdr:to>
      <xdr:col>10</xdr:col>
      <xdr:colOff>486641</xdr:colOff>
      <xdr:row>12</xdr:row>
      <xdr:rowOff>2032907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C00F94D-847B-4E13-AE0D-5748E7F66FE9}"/>
            </a:ext>
          </a:extLst>
        </xdr:cNvPr>
        <xdr:cNvSpPr txBox="1"/>
      </xdr:nvSpPr>
      <xdr:spPr>
        <a:xfrm>
          <a:off x="4604479" y="8808642"/>
          <a:ext cx="2254387" cy="568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latin typeface="+mn-lt"/>
            </a:rPr>
            <a:t>Servicios</a:t>
          </a:r>
          <a:r>
            <a:rPr lang="es-ES" sz="1400" b="1" baseline="0">
              <a:latin typeface="+mn-lt"/>
            </a:rPr>
            <a:t> de valor</a:t>
          </a:r>
        </a:p>
        <a:p>
          <a:r>
            <a:rPr lang="es-ES" sz="1400" b="1" baseline="0">
              <a:latin typeface="+mn-lt"/>
            </a:rPr>
            <a:t>añadido</a:t>
          </a:r>
          <a:endParaRPr lang="es-ES" sz="1400" b="1">
            <a:latin typeface="+mn-lt"/>
          </a:endParaRPr>
        </a:p>
      </xdr:txBody>
    </xdr:sp>
    <xdr:clientData/>
  </xdr:twoCellAnchor>
  <xdr:twoCellAnchor editAs="oneCell">
    <xdr:from>
      <xdr:col>5</xdr:col>
      <xdr:colOff>617147</xdr:colOff>
      <xdr:row>12</xdr:row>
      <xdr:rowOff>374475</xdr:rowOff>
    </xdr:from>
    <xdr:to>
      <xdr:col>6</xdr:col>
      <xdr:colOff>340178</xdr:colOff>
      <xdr:row>12</xdr:row>
      <xdr:rowOff>884792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740D328-107C-446B-AC9E-A393C542C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1372" y="7718250"/>
          <a:ext cx="485031" cy="510317"/>
        </a:xfrm>
        <a:prstGeom prst="rect">
          <a:avLst/>
        </a:prstGeom>
        <a:solidFill>
          <a:srgbClr val="FFC000"/>
        </a:solidFill>
      </xdr:spPr>
    </xdr:pic>
    <xdr:clientData/>
  </xdr:twoCellAnchor>
  <xdr:twoCellAnchor>
    <xdr:from>
      <xdr:col>6</xdr:col>
      <xdr:colOff>492921</xdr:colOff>
      <xdr:row>12</xdr:row>
      <xdr:rowOff>2555834</xdr:rowOff>
    </xdr:from>
    <xdr:to>
      <xdr:col>11</xdr:col>
      <xdr:colOff>391391</xdr:colOff>
      <xdr:row>12</xdr:row>
      <xdr:rowOff>3131128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0D39047-C382-4923-8418-05A92D00E1F6}"/>
            </a:ext>
          </a:extLst>
        </xdr:cNvPr>
        <xdr:cNvSpPr txBox="1"/>
      </xdr:nvSpPr>
      <xdr:spPr>
        <a:xfrm>
          <a:off x="4579146" y="9899609"/>
          <a:ext cx="3136970" cy="575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 baseline="0">
              <a:latin typeface="+mn-lt"/>
            </a:rPr>
            <a:t>Certificados ISO de calidad y medio</a:t>
          </a:r>
        </a:p>
        <a:p>
          <a:r>
            <a:rPr lang="es-ES" sz="1400" b="1" baseline="0">
              <a:latin typeface="+mn-lt"/>
            </a:rPr>
            <a:t>ambiente: ISO 9001 / ISO 14001</a:t>
          </a:r>
        </a:p>
        <a:p>
          <a:endParaRPr lang="es-ES" sz="1400" b="1" baseline="0">
            <a:latin typeface="+mn-lt"/>
          </a:endParaRPr>
        </a:p>
      </xdr:txBody>
    </xdr:sp>
    <xdr:clientData/>
  </xdr:twoCellAnchor>
  <xdr:twoCellAnchor editAs="oneCell">
    <xdr:from>
      <xdr:col>5</xdr:col>
      <xdr:colOff>638919</xdr:colOff>
      <xdr:row>12</xdr:row>
      <xdr:rowOff>2584275</xdr:rowOff>
    </xdr:from>
    <xdr:to>
      <xdr:col>6</xdr:col>
      <xdr:colOff>361950</xdr:colOff>
      <xdr:row>12</xdr:row>
      <xdr:rowOff>3094592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FB2D650-982A-429D-9C84-8CEC500E1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3144" y="9928050"/>
          <a:ext cx="485031" cy="510317"/>
        </a:xfrm>
        <a:prstGeom prst="rect">
          <a:avLst/>
        </a:prstGeom>
        <a:solidFill>
          <a:srgbClr val="FFC000"/>
        </a:solidFill>
      </xdr:spPr>
    </xdr:pic>
    <xdr:clientData/>
  </xdr:twoCellAnchor>
  <xdr:twoCellAnchor editAs="oneCell">
    <xdr:from>
      <xdr:col>5</xdr:col>
      <xdr:colOff>628033</xdr:colOff>
      <xdr:row>12</xdr:row>
      <xdr:rowOff>1473932</xdr:rowOff>
    </xdr:from>
    <xdr:to>
      <xdr:col>6</xdr:col>
      <xdr:colOff>351064</xdr:colOff>
      <xdr:row>12</xdr:row>
      <xdr:rowOff>1984249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13AF0AF-22F4-4C39-994C-768A60C49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52258" y="8817707"/>
          <a:ext cx="485031" cy="510317"/>
        </a:xfrm>
        <a:prstGeom prst="rect">
          <a:avLst/>
        </a:prstGeom>
        <a:solidFill>
          <a:srgbClr val="FFC000"/>
        </a:solidFill>
      </xdr:spPr>
    </xdr:pic>
    <xdr:clientData/>
  </xdr:twoCellAnchor>
  <xdr:twoCellAnchor>
    <xdr:from>
      <xdr:col>5</xdr:col>
      <xdr:colOff>727211</xdr:colOff>
      <xdr:row>12</xdr:row>
      <xdr:rowOff>500171</xdr:rowOff>
    </xdr:from>
    <xdr:to>
      <xdr:col>6</xdr:col>
      <xdr:colOff>223287</xdr:colOff>
      <xdr:row>12</xdr:row>
      <xdr:rowOff>718705</xdr:rowOff>
    </xdr:to>
    <xdr:sp macro="" textlink="">
      <xdr:nvSpPr>
        <xdr:cNvPr id="41" name="Freeform 41">
          <a:extLst>
            <a:ext uri="{FF2B5EF4-FFF2-40B4-BE49-F238E27FC236}">
              <a16:creationId xmlns:a16="http://schemas.microsoft.com/office/drawing/2014/main" id="{9401D7AB-5E7D-4751-97AB-DDF9A7E1EDBC}"/>
            </a:ext>
          </a:extLst>
        </xdr:cNvPr>
        <xdr:cNvSpPr>
          <a:spLocks noChangeAspect="1" noEditPoints="1"/>
        </xdr:cNvSpPr>
      </xdr:nvSpPr>
      <xdr:spPr bwMode="gray">
        <a:xfrm>
          <a:off x="4051436" y="7843946"/>
          <a:ext cx="258076" cy="218534"/>
        </a:xfrm>
        <a:custGeom>
          <a:avLst/>
          <a:gdLst>
            <a:gd name="T0" fmla="*/ 926 w 1802"/>
            <a:gd name="T1" fmla="*/ 1214 h 1518"/>
            <a:gd name="T2" fmla="*/ 928 w 1802"/>
            <a:gd name="T3" fmla="*/ 1210 h 1518"/>
            <a:gd name="T4" fmla="*/ 196 w 1802"/>
            <a:gd name="T5" fmla="*/ 1210 h 1518"/>
            <a:gd name="T6" fmla="*/ 196 w 1802"/>
            <a:gd name="T7" fmla="*/ 175 h 1518"/>
            <a:gd name="T8" fmla="*/ 1604 w 1802"/>
            <a:gd name="T9" fmla="*/ 175 h 1518"/>
            <a:gd name="T10" fmla="*/ 1604 w 1802"/>
            <a:gd name="T11" fmla="*/ 796 h 1518"/>
            <a:gd name="T12" fmla="*/ 1801 w 1802"/>
            <a:gd name="T13" fmla="*/ 1056 h 1518"/>
            <a:gd name="T14" fmla="*/ 1801 w 1802"/>
            <a:gd name="T15" fmla="*/ 140 h 1518"/>
            <a:gd name="T16" fmla="*/ 1661 w 1802"/>
            <a:gd name="T17" fmla="*/ 0 h 1518"/>
            <a:gd name="T18" fmla="*/ 140 w 1802"/>
            <a:gd name="T19" fmla="*/ 0 h 1518"/>
            <a:gd name="T20" fmla="*/ 0 w 1802"/>
            <a:gd name="T21" fmla="*/ 140 h 1518"/>
            <a:gd name="T22" fmla="*/ 0 w 1802"/>
            <a:gd name="T23" fmla="*/ 1245 h 1518"/>
            <a:gd name="T24" fmla="*/ 140 w 1802"/>
            <a:gd name="T25" fmla="*/ 1385 h 1518"/>
            <a:gd name="T26" fmla="*/ 1004 w 1802"/>
            <a:gd name="T27" fmla="*/ 1385 h 1518"/>
            <a:gd name="T28" fmla="*/ 926 w 1802"/>
            <a:gd name="T29" fmla="*/ 1214 h 1518"/>
            <a:gd name="T30" fmla="*/ 955 w 1802"/>
            <a:gd name="T31" fmla="*/ 653 h 1518"/>
            <a:gd name="T32" fmla="*/ 1064 w 1802"/>
            <a:gd name="T33" fmla="*/ 734 h 1518"/>
            <a:gd name="T34" fmla="*/ 999 w 1802"/>
            <a:gd name="T35" fmla="*/ 712 h 1518"/>
            <a:gd name="T36" fmla="*/ 932 w 1802"/>
            <a:gd name="T37" fmla="*/ 734 h 1518"/>
            <a:gd name="T38" fmla="*/ 889 w 1802"/>
            <a:gd name="T39" fmla="*/ 859 h 1518"/>
            <a:gd name="T40" fmla="*/ 889 w 1802"/>
            <a:gd name="T41" fmla="*/ 674 h 1518"/>
            <a:gd name="T42" fmla="*/ 955 w 1802"/>
            <a:gd name="T43" fmla="*/ 653 h 1518"/>
            <a:gd name="T44" fmla="*/ 1007 w 1802"/>
            <a:gd name="T45" fmla="*/ 774 h 1518"/>
            <a:gd name="T46" fmla="*/ 1060 w 1802"/>
            <a:gd name="T47" fmla="*/ 802 h 1518"/>
            <a:gd name="T48" fmla="*/ 1219 w 1802"/>
            <a:gd name="T49" fmla="*/ 1024 h 1518"/>
            <a:gd name="T50" fmla="*/ 1238 w 1802"/>
            <a:gd name="T51" fmla="*/ 1034 h 1518"/>
            <a:gd name="T52" fmla="*/ 1252 w 1802"/>
            <a:gd name="T53" fmla="*/ 1029 h 1518"/>
            <a:gd name="T54" fmla="*/ 1258 w 1802"/>
            <a:gd name="T55" fmla="*/ 996 h 1518"/>
            <a:gd name="T56" fmla="*/ 1219 w 1802"/>
            <a:gd name="T57" fmla="*/ 941 h 1518"/>
            <a:gd name="T58" fmla="*/ 1281 w 1802"/>
            <a:gd name="T59" fmla="*/ 925 h 1518"/>
            <a:gd name="T60" fmla="*/ 1291 w 1802"/>
            <a:gd name="T61" fmla="*/ 924 h 1518"/>
            <a:gd name="T62" fmla="*/ 1325 w 1802"/>
            <a:gd name="T63" fmla="*/ 942 h 1518"/>
            <a:gd name="T64" fmla="*/ 1357 w 1802"/>
            <a:gd name="T65" fmla="*/ 986 h 1518"/>
            <a:gd name="T66" fmla="*/ 1376 w 1802"/>
            <a:gd name="T67" fmla="*/ 996 h 1518"/>
            <a:gd name="T68" fmla="*/ 1390 w 1802"/>
            <a:gd name="T69" fmla="*/ 992 h 1518"/>
            <a:gd name="T70" fmla="*/ 1396 w 1802"/>
            <a:gd name="T71" fmla="*/ 959 h 1518"/>
            <a:gd name="T72" fmla="*/ 1359 w 1802"/>
            <a:gd name="T73" fmla="*/ 907 h 1518"/>
            <a:gd name="T74" fmla="*/ 1421 w 1802"/>
            <a:gd name="T75" fmla="*/ 893 h 1518"/>
            <a:gd name="T76" fmla="*/ 1429 w 1802"/>
            <a:gd name="T77" fmla="*/ 892 h 1518"/>
            <a:gd name="T78" fmla="*/ 1463 w 1802"/>
            <a:gd name="T79" fmla="*/ 910 h 1518"/>
            <a:gd name="T80" fmla="*/ 1490 w 1802"/>
            <a:gd name="T81" fmla="*/ 948 h 1518"/>
            <a:gd name="T82" fmla="*/ 1510 w 1802"/>
            <a:gd name="T83" fmla="*/ 958 h 1518"/>
            <a:gd name="T84" fmla="*/ 1523 w 1802"/>
            <a:gd name="T85" fmla="*/ 953 h 1518"/>
            <a:gd name="T86" fmla="*/ 1529 w 1802"/>
            <a:gd name="T87" fmla="*/ 920 h 1518"/>
            <a:gd name="T88" fmla="*/ 1499 w 1802"/>
            <a:gd name="T89" fmla="*/ 877 h 1518"/>
            <a:gd name="T90" fmla="*/ 1517 w 1802"/>
            <a:gd name="T91" fmla="*/ 874 h 1518"/>
            <a:gd name="T92" fmla="*/ 1540 w 1802"/>
            <a:gd name="T93" fmla="*/ 872 h 1518"/>
            <a:gd name="T94" fmla="*/ 1653 w 1802"/>
            <a:gd name="T95" fmla="*/ 950 h 1518"/>
            <a:gd name="T96" fmla="*/ 1802 w 1802"/>
            <a:gd name="T97" fmla="*/ 1279 h 1518"/>
            <a:gd name="T98" fmla="*/ 1467 w 1802"/>
            <a:gd name="T99" fmla="*/ 1518 h 1518"/>
            <a:gd name="T100" fmla="*/ 1079 w 1802"/>
            <a:gd name="T101" fmla="*/ 1323 h 1518"/>
            <a:gd name="T102" fmla="*/ 1011 w 1802"/>
            <a:gd name="T103" fmla="*/ 1237 h 1518"/>
            <a:gd name="T104" fmla="*/ 1090 w 1802"/>
            <a:gd name="T105" fmla="*/ 1188 h 1518"/>
            <a:gd name="T106" fmla="*/ 1096 w 1802"/>
            <a:gd name="T107" fmla="*/ 1188 h 1518"/>
            <a:gd name="T108" fmla="*/ 1188 w 1802"/>
            <a:gd name="T109" fmla="*/ 1205 h 1518"/>
            <a:gd name="T110" fmla="*/ 955 w 1802"/>
            <a:gd name="T111" fmla="*/ 877 h 1518"/>
            <a:gd name="T112" fmla="*/ 970 w 1802"/>
            <a:gd name="T113" fmla="*/ 786 h 1518"/>
            <a:gd name="T114" fmla="*/ 1007 w 1802"/>
            <a:gd name="T115" fmla="*/ 774 h 151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1802" h="1518">
              <a:moveTo>
                <a:pt x="926" y="1214"/>
              </a:moveTo>
              <a:cubicBezTo>
                <a:pt x="927" y="1212"/>
                <a:pt x="927" y="1211"/>
                <a:pt x="928" y="1210"/>
              </a:cubicBezTo>
              <a:cubicBezTo>
                <a:pt x="196" y="1210"/>
                <a:pt x="196" y="1210"/>
                <a:pt x="196" y="1210"/>
              </a:cubicBezTo>
              <a:cubicBezTo>
                <a:pt x="196" y="175"/>
                <a:pt x="196" y="175"/>
                <a:pt x="196" y="175"/>
              </a:cubicBezTo>
              <a:cubicBezTo>
                <a:pt x="1604" y="175"/>
                <a:pt x="1604" y="175"/>
                <a:pt x="1604" y="175"/>
              </a:cubicBezTo>
              <a:cubicBezTo>
                <a:pt x="1604" y="796"/>
                <a:pt x="1604" y="796"/>
                <a:pt x="1604" y="796"/>
              </a:cubicBezTo>
              <a:cubicBezTo>
                <a:pt x="1700" y="831"/>
                <a:pt x="1769" y="958"/>
                <a:pt x="1801" y="1056"/>
              </a:cubicBezTo>
              <a:cubicBezTo>
                <a:pt x="1801" y="140"/>
                <a:pt x="1801" y="140"/>
                <a:pt x="1801" y="140"/>
              </a:cubicBezTo>
              <a:cubicBezTo>
                <a:pt x="1801" y="62"/>
                <a:pt x="1738" y="0"/>
                <a:pt x="1661" y="0"/>
              </a:cubicBezTo>
              <a:cubicBezTo>
                <a:pt x="140" y="0"/>
                <a:pt x="140" y="0"/>
                <a:pt x="140" y="0"/>
              </a:cubicBezTo>
              <a:cubicBezTo>
                <a:pt x="62" y="0"/>
                <a:pt x="0" y="62"/>
                <a:pt x="0" y="140"/>
              </a:cubicBezTo>
              <a:cubicBezTo>
                <a:pt x="0" y="1245"/>
                <a:pt x="0" y="1245"/>
                <a:pt x="0" y="1245"/>
              </a:cubicBezTo>
              <a:cubicBezTo>
                <a:pt x="0" y="1322"/>
                <a:pt x="62" y="1385"/>
                <a:pt x="140" y="1385"/>
              </a:cubicBezTo>
              <a:cubicBezTo>
                <a:pt x="1004" y="1385"/>
                <a:pt x="1004" y="1385"/>
                <a:pt x="1004" y="1385"/>
              </a:cubicBezTo>
              <a:cubicBezTo>
                <a:pt x="930" y="1341"/>
                <a:pt x="911" y="1271"/>
                <a:pt x="926" y="1214"/>
              </a:cubicBezTo>
              <a:close/>
              <a:moveTo>
                <a:pt x="955" y="653"/>
              </a:moveTo>
              <a:cubicBezTo>
                <a:pt x="1003" y="653"/>
                <a:pt x="1049" y="683"/>
                <a:pt x="1064" y="734"/>
              </a:cubicBezTo>
              <a:cubicBezTo>
                <a:pt x="1045" y="719"/>
                <a:pt x="1022" y="712"/>
                <a:pt x="999" y="712"/>
              </a:cubicBezTo>
              <a:cubicBezTo>
                <a:pt x="976" y="712"/>
                <a:pt x="952" y="719"/>
                <a:pt x="932" y="734"/>
              </a:cubicBezTo>
              <a:cubicBezTo>
                <a:pt x="891" y="763"/>
                <a:pt x="873" y="812"/>
                <a:pt x="889" y="859"/>
              </a:cubicBezTo>
              <a:cubicBezTo>
                <a:pt x="826" y="814"/>
                <a:pt x="826" y="719"/>
                <a:pt x="889" y="674"/>
              </a:cubicBezTo>
              <a:cubicBezTo>
                <a:pt x="909" y="659"/>
                <a:pt x="932" y="653"/>
                <a:pt x="955" y="653"/>
              </a:cubicBezTo>
              <a:moveTo>
                <a:pt x="1007" y="774"/>
              </a:moveTo>
              <a:cubicBezTo>
                <a:pt x="1028" y="774"/>
                <a:pt x="1048" y="784"/>
                <a:pt x="1060" y="802"/>
              </a:cubicBezTo>
              <a:cubicBezTo>
                <a:pt x="1219" y="1024"/>
                <a:pt x="1219" y="1024"/>
                <a:pt x="1219" y="1024"/>
              </a:cubicBezTo>
              <a:cubicBezTo>
                <a:pt x="1224" y="1030"/>
                <a:pt x="1231" y="1034"/>
                <a:pt x="1238" y="1034"/>
              </a:cubicBezTo>
              <a:cubicBezTo>
                <a:pt x="1243" y="1034"/>
                <a:pt x="1248" y="1032"/>
                <a:pt x="1252" y="1029"/>
              </a:cubicBezTo>
              <a:cubicBezTo>
                <a:pt x="1263" y="1021"/>
                <a:pt x="1265" y="1007"/>
                <a:pt x="1258" y="996"/>
              </a:cubicBezTo>
              <a:cubicBezTo>
                <a:pt x="1219" y="941"/>
                <a:pt x="1219" y="941"/>
                <a:pt x="1219" y="941"/>
              </a:cubicBezTo>
              <a:cubicBezTo>
                <a:pt x="1236" y="937"/>
                <a:pt x="1258" y="931"/>
                <a:pt x="1281" y="925"/>
              </a:cubicBezTo>
              <a:cubicBezTo>
                <a:pt x="1285" y="925"/>
                <a:pt x="1288" y="924"/>
                <a:pt x="1291" y="924"/>
              </a:cubicBezTo>
              <a:cubicBezTo>
                <a:pt x="1304" y="924"/>
                <a:pt x="1317" y="931"/>
                <a:pt x="1325" y="942"/>
              </a:cubicBezTo>
              <a:cubicBezTo>
                <a:pt x="1357" y="986"/>
                <a:pt x="1357" y="986"/>
                <a:pt x="1357" y="986"/>
              </a:cubicBezTo>
              <a:cubicBezTo>
                <a:pt x="1362" y="993"/>
                <a:pt x="1369" y="996"/>
                <a:pt x="1376" y="996"/>
              </a:cubicBezTo>
              <a:cubicBezTo>
                <a:pt x="1381" y="996"/>
                <a:pt x="1386" y="995"/>
                <a:pt x="1390" y="992"/>
              </a:cubicBezTo>
              <a:cubicBezTo>
                <a:pt x="1401" y="984"/>
                <a:pt x="1403" y="969"/>
                <a:pt x="1396" y="959"/>
              </a:cubicBezTo>
              <a:cubicBezTo>
                <a:pt x="1359" y="907"/>
                <a:pt x="1359" y="907"/>
                <a:pt x="1359" y="907"/>
              </a:cubicBezTo>
              <a:cubicBezTo>
                <a:pt x="1379" y="902"/>
                <a:pt x="1400" y="898"/>
                <a:pt x="1421" y="893"/>
              </a:cubicBezTo>
              <a:cubicBezTo>
                <a:pt x="1423" y="893"/>
                <a:pt x="1426" y="892"/>
                <a:pt x="1429" y="892"/>
              </a:cubicBezTo>
              <a:cubicBezTo>
                <a:pt x="1443" y="892"/>
                <a:pt x="1455" y="899"/>
                <a:pt x="1463" y="910"/>
              </a:cubicBezTo>
              <a:cubicBezTo>
                <a:pt x="1490" y="948"/>
                <a:pt x="1490" y="948"/>
                <a:pt x="1490" y="948"/>
              </a:cubicBezTo>
              <a:cubicBezTo>
                <a:pt x="1495" y="954"/>
                <a:pt x="1502" y="958"/>
                <a:pt x="1510" y="958"/>
              </a:cubicBezTo>
              <a:cubicBezTo>
                <a:pt x="1514" y="958"/>
                <a:pt x="1519" y="956"/>
                <a:pt x="1523" y="953"/>
              </a:cubicBezTo>
              <a:cubicBezTo>
                <a:pt x="1534" y="946"/>
                <a:pt x="1537" y="931"/>
                <a:pt x="1529" y="920"/>
              </a:cubicBezTo>
              <a:cubicBezTo>
                <a:pt x="1499" y="877"/>
                <a:pt x="1499" y="877"/>
                <a:pt x="1499" y="877"/>
              </a:cubicBezTo>
              <a:cubicBezTo>
                <a:pt x="1505" y="876"/>
                <a:pt x="1511" y="875"/>
                <a:pt x="1517" y="874"/>
              </a:cubicBezTo>
              <a:cubicBezTo>
                <a:pt x="1525" y="873"/>
                <a:pt x="1533" y="872"/>
                <a:pt x="1540" y="872"/>
              </a:cubicBezTo>
              <a:cubicBezTo>
                <a:pt x="1589" y="872"/>
                <a:pt x="1619" y="903"/>
                <a:pt x="1653" y="950"/>
              </a:cubicBezTo>
              <a:cubicBezTo>
                <a:pt x="1739" y="1071"/>
                <a:pt x="1715" y="1157"/>
                <a:pt x="1802" y="1279"/>
              </a:cubicBezTo>
              <a:cubicBezTo>
                <a:pt x="1693" y="1357"/>
                <a:pt x="1582" y="1436"/>
                <a:pt x="1467" y="1518"/>
              </a:cubicBezTo>
              <a:cubicBezTo>
                <a:pt x="1286" y="1383"/>
                <a:pt x="1130" y="1340"/>
                <a:pt x="1079" y="1323"/>
              </a:cubicBezTo>
              <a:cubicBezTo>
                <a:pt x="1031" y="1307"/>
                <a:pt x="1000" y="1276"/>
                <a:pt x="1011" y="1237"/>
              </a:cubicBezTo>
              <a:cubicBezTo>
                <a:pt x="1021" y="1200"/>
                <a:pt x="1058" y="1188"/>
                <a:pt x="1090" y="1188"/>
              </a:cubicBezTo>
              <a:cubicBezTo>
                <a:pt x="1092" y="1188"/>
                <a:pt x="1094" y="1188"/>
                <a:pt x="1096" y="1188"/>
              </a:cubicBezTo>
              <a:cubicBezTo>
                <a:pt x="1147" y="1190"/>
                <a:pt x="1188" y="1205"/>
                <a:pt x="1188" y="1205"/>
              </a:cubicBezTo>
              <a:cubicBezTo>
                <a:pt x="955" y="877"/>
                <a:pt x="955" y="877"/>
                <a:pt x="955" y="877"/>
              </a:cubicBezTo>
              <a:cubicBezTo>
                <a:pt x="934" y="848"/>
                <a:pt x="940" y="807"/>
                <a:pt x="970" y="786"/>
              </a:cubicBezTo>
              <a:cubicBezTo>
                <a:pt x="981" y="778"/>
                <a:pt x="994" y="774"/>
                <a:pt x="1007" y="774"/>
              </a:cubicBezTo>
            </a:path>
          </a:pathLst>
        </a:custGeom>
        <a:solidFill>
          <a:srgbClr val="D4051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746046</xdr:colOff>
      <xdr:row>12</xdr:row>
      <xdr:rowOff>2727937</xdr:rowOff>
    </xdr:from>
    <xdr:to>
      <xdr:col>6</xdr:col>
      <xdr:colOff>284082</xdr:colOff>
      <xdr:row>12</xdr:row>
      <xdr:rowOff>2963550</xdr:rowOff>
    </xdr:to>
    <xdr:pic>
      <xdr:nvPicPr>
        <xdr:cNvPr id="42" name="Picture 41" descr="Resultado de imagen de iso 14001">
          <a:extLst>
            <a:ext uri="{FF2B5EF4-FFF2-40B4-BE49-F238E27FC236}">
              <a16:creationId xmlns:a16="http://schemas.microsoft.com/office/drawing/2014/main" id="{5296274D-1737-4A91-BED8-93EF37B14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0271" y="10071712"/>
          <a:ext cx="300036" cy="235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735643</xdr:colOff>
      <xdr:row>12</xdr:row>
      <xdr:rowOff>1616999</xdr:rowOff>
    </xdr:from>
    <xdr:to>
      <xdr:col>6</xdr:col>
      <xdr:colOff>228193</xdr:colOff>
      <xdr:row>12</xdr:row>
      <xdr:rowOff>1820141</xdr:rowOff>
    </xdr:to>
    <xdr:sp macro="" textlink="">
      <xdr:nvSpPr>
        <xdr:cNvPr id="43" name="Freeform 43">
          <a:extLst>
            <a:ext uri="{FF2B5EF4-FFF2-40B4-BE49-F238E27FC236}">
              <a16:creationId xmlns:a16="http://schemas.microsoft.com/office/drawing/2014/main" id="{9D8392D5-2BE3-4012-AF9A-8C5547FD32CE}"/>
            </a:ext>
          </a:extLst>
        </xdr:cNvPr>
        <xdr:cNvSpPr>
          <a:spLocks noEditPoints="1"/>
        </xdr:cNvSpPr>
      </xdr:nvSpPr>
      <xdr:spPr bwMode="auto">
        <a:xfrm>
          <a:off x="4059868" y="8960774"/>
          <a:ext cx="254550" cy="203142"/>
        </a:xfrm>
        <a:custGeom>
          <a:avLst/>
          <a:gdLst>
            <a:gd name="T0" fmla="*/ 109 w 260"/>
            <a:gd name="T1" fmla="*/ 137 h 300"/>
            <a:gd name="T2" fmla="*/ 10 w 260"/>
            <a:gd name="T3" fmla="*/ 45 h 300"/>
            <a:gd name="T4" fmla="*/ 145 w 260"/>
            <a:gd name="T5" fmla="*/ 0 h 300"/>
            <a:gd name="T6" fmla="*/ 145 w 260"/>
            <a:gd name="T7" fmla="*/ 127 h 300"/>
            <a:gd name="T8" fmla="*/ 109 w 260"/>
            <a:gd name="T9" fmla="*/ 137 h 300"/>
            <a:gd name="T10" fmla="*/ 109 w 260"/>
            <a:gd name="T11" fmla="*/ 137 h 300"/>
            <a:gd name="T12" fmla="*/ 109 w 260"/>
            <a:gd name="T13" fmla="*/ 137 h 300"/>
            <a:gd name="T14" fmla="*/ 109 w 260"/>
            <a:gd name="T15" fmla="*/ 137 h 300"/>
            <a:gd name="T16" fmla="*/ 156 w 260"/>
            <a:gd name="T17" fmla="*/ 123 h 300"/>
            <a:gd name="T18" fmla="*/ 156 w 260"/>
            <a:gd name="T19" fmla="*/ 2 h 300"/>
            <a:gd name="T20" fmla="*/ 256 w 260"/>
            <a:gd name="T21" fmla="*/ 90 h 300"/>
            <a:gd name="T22" fmla="*/ 156 w 260"/>
            <a:gd name="T23" fmla="*/ 123 h 300"/>
            <a:gd name="T24" fmla="*/ 156 w 260"/>
            <a:gd name="T25" fmla="*/ 123 h 300"/>
            <a:gd name="T26" fmla="*/ 156 w 260"/>
            <a:gd name="T27" fmla="*/ 123 h 300"/>
            <a:gd name="T28" fmla="*/ 156 w 260"/>
            <a:gd name="T29" fmla="*/ 123 h 300"/>
            <a:gd name="T30" fmla="*/ 0 w 260"/>
            <a:gd name="T31" fmla="*/ 201 h 300"/>
            <a:gd name="T32" fmla="*/ 0 w 260"/>
            <a:gd name="T33" fmla="*/ 52 h 300"/>
            <a:gd name="T34" fmla="*/ 100 w 260"/>
            <a:gd name="T35" fmla="*/ 146 h 300"/>
            <a:gd name="T36" fmla="*/ 100 w 260"/>
            <a:gd name="T37" fmla="*/ 297 h 300"/>
            <a:gd name="T38" fmla="*/ 0 w 260"/>
            <a:gd name="T39" fmla="*/ 201 h 300"/>
            <a:gd name="T40" fmla="*/ 0 w 260"/>
            <a:gd name="T41" fmla="*/ 201 h 300"/>
            <a:gd name="T42" fmla="*/ 0 w 260"/>
            <a:gd name="T43" fmla="*/ 201 h 300"/>
            <a:gd name="T44" fmla="*/ 0 w 260"/>
            <a:gd name="T45" fmla="*/ 201 h 300"/>
            <a:gd name="T46" fmla="*/ 114 w 260"/>
            <a:gd name="T47" fmla="*/ 151 h 300"/>
            <a:gd name="T48" fmla="*/ 260 w 260"/>
            <a:gd name="T49" fmla="*/ 99 h 300"/>
            <a:gd name="T50" fmla="*/ 260 w 260"/>
            <a:gd name="T51" fmla="*/ 250 h 300"/>
            <a:gd name="T52" fmla="*/ 114 w 260"/>
            <a:gd name="T53" fmla="*/ 300 h 300"/>
            <a:gd name="T54" fmla="*/ 114 w 260"/>
            <a:gd name="T55" fmla="*/ 151 h 300"/>
            <a:gd name="T56" fmla="*/ 114 w 260"/>
            <a:gd name="T57" fmla="*/ 151 h 300"/>
            <a:gd name="T58" fmla="*/ 114 w 260"/>
            <a:gd name="T59" fmla="*/ 151 h 300"/>
            <a:gd name="T60" fmla="*/ 114 w 260"/>
            <a:gd name="T61" fmla="*/ 151 h 3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</a:cxnLst>
          <a:rect l="0" t="0" r="r" b="b"/>
          <a:pathLst>
            <a:path w="260" h="300">
              <a:moveTo>
                <a:pt x="109" y="137"/>
              </a:moveTo>
              <a:lnTo>
                <a:pt x="10" y="45"/>
              </a:lnTo>
              <a:lnTo>
                <a:pt x="145" y="0"/>
              </a:lnTo>
              <a:lnTo>
                <a:pt x="145" y="127"/>
              </a:lnTo>
              <a:lnTo>
                <a:pt x="109" y="137"/>
              </a:lnTo>
              <a:lnTo>
                <a:pt x="109" y="137"/>
              </a:lnTo>
              <a:lnTo>
                <a:pt x="109" y="137"/>
              </a:lnTo>
              <a:lnTo>
                <a:pt x="109" y="137"/>
              </a:lnTo>
              <a:close/>
              <a:moveTo>
                <a:pt x="156" y="123"/>
              </a:moveTo>
              <a:lnTo>
                <a:pt x="156" y="2"/>
              </a:lnTo>
              <a:lnTo>
                <a:pt x="256" y="90"/>
              </a:lnTo>
              <a:lnTo>
                <a:pt x="156" y="123"/>
              </a:lnTo>
              <a:lnTo>
                <a:pt x="156" y="123"/>
              </a:lnTo>
              <a:lnTo>
                <a:pt x="156" y="123"/>
              </a:lnTo>
              <a:lnTo>
                <a:pt x="156" y="123"/>
              </a:lnTo>
              <a:close/>
              <a:moveTo>
                <a:pt x="0" y="201"/>
              </a:moveTo>
              <a:lnTo>
                <a:pt x="0" y="52"/>
              </a:lnTo>
              <a:lnTo>
                <a:pt x="100" y="146"/>
              </a:lnTo>
              <a:lnTo>
                <a:pt x="100" y="297"/>
              </a:lnTo>
              <a:lnTo>
                <a:pt x="0" y="201"/>
              </a:lnTo>
              <a:lnTo>
                <a:pt x="0" y="201"/>
              </a:lnTo>
              <a:lnTo>
                <a:pt x="0" y="201"/>
              </a:lnTo>
              <a:lnTo>
                <a:pt x="0" y="201"/>
              </a:lnTo>
              <a:close/>
              <a:moveTo>
                <a:pt x="114" y="151"/>
              </a:moveTo>
              <a:lnTo>
                <a:pt x="260" y="99"/>
              </a:lnTo>
              <a:lnTo>
                <a:pt x="260" y="250"/>
              </a:lnTo>
              <a:lnTo>
                <a:pt x="114" y="300"/>
              </a:lnTo>
              <a:lnTo>
                <a:pt x="114" y="151"/>
              </a:lnTo>
              <a:lnTo>
                <a:pt x="114" y="151"/>
              </a:lnTo>
              <a:lnTo>
                <a:pt x="114" y="151"/>
              </a:lnTo>
              <a:lnTo>
                <a:pt x="114" y="151"/>
              </a:lnTo>
              <a:close/>
            </a:path>
          </a:pathLst>
        </a:custGeom>
        <a:solidFill>
          <a:srgbClr val="D4051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de-DE"/>
        </a:p>
      </xdr:txBody>
    </xdr:sp>
    <xdr:clientData/>
  </xdr:twoCellAnchor>
  <xdr:twoCellAnchor>
    <xdr:from>
      <xdr:col>0</xdr:col>
      <xdr:colOff>0</xdr:colOff>
      <xdr:row>33</xdr:row>
      <xdr:rowOff>110715</xdr:rowOff>
    </xdr:from>
    <xdr:to>
      <xdr:col>12</xdr:col>
      <xdr:colOff>0</xdr:colOff>
      <xdr:row>36</xdr:row>
      <xdr:rowOff>151208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5EE8F39-B257-4857-8A36-B20BB31E6954}"/>
            </a:ext>
          </a:extLst>
        </xdr:cNvPr>
        <xdr:cNvSpPr txBox="1"/>
      </xdr:nvSpPr>
      <xdr:spPr>
        <a:xfrm>
          <a:off x="0" y="17135475"/>
          <a:ext cx="8086725" cy="475058"/>
        </a:xfrm>
        <a:prstGeom prst="rect">
          <a:avLst/>
        </a:prstGeom>
        <a:solidFill>
          <a:srgbClr val="EAEAE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Consideraciones</a:t>
          </a:r>
          <a:r>
            <a:rPr lang="es-ES" sz="1400" b="1">
              <a:latin typeface="Calibri" panose="020F0502020204030204" pitchFamily="34" charset="0"/>
              <a:cs typeface="Calibri" panose="020F0502020204030204" pitchFamily="34" charset="0"/>
            </a:rPr>
            <a:t> específicas para Portugal </a:t>
          </a:r>
        </a:p>
      </xdr:txBody>
    </xdr:sp>
    <xdr:clientData/>
  </xdr:twoCellAnchor>
  <xdr:twoCellAnchor>
    <xdr:from>
      <xdr:col>0</xdr:col>
      <xdr:colOff>0</xdr:colOff>
      <xdr:row>49</xdr:row>
      <xdr:rowOff>6473</xdr:rowOff>
    </xdr:from>
    <xdr:to>
      <xdr:col>12</xdr:col>
      <xdr:colOff>0</xdr:colOff>
      <xdr:row>52</xdr:row>
      <xdr:rowOff>46966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6AD8D0E-091D-4C1B-8387-F25490FE3661}"/>
            </a:ext>
          </a:extLst>
        </xdr:cNvPr>
        <xdr:cNvSpPr txBox="1"/>
      </xdr:nvSpPr>
      <xdr:spPr>
        <a:xfrm>
          <a:off x="0" y="19570823"/>
          <a:ext cx="8086725" cy="526268"/>
        </a:xfrm>
        <a:prstGeom prst="rect">
          <a:avLst/>
        </a:prstGeom>
        <a:solidFill>
          <a:srgbClr val="EAEAE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Consideraciones</a:t>
          </a:r>
          <a:r>
            <a:rPr lang="es-ES" sz="1400" b="1">
              <a:latin typeface="Calibri" panose="020F0502020204030204" pitchFamily="34" charset="0"/>
              <a:cs typeface="Calibri" panose="020F0502020204030204" pitchFamily="34" charset="0"/>
            </a:rPr>
            <a:t> específicas para Ceuta, Melilla y Gibraltar</a:t>
          </a:r>
        </a:p>
      </xdr:txBody>
    </xdr:sp>
    <xdr:clientData/>
  </xdr:twoCellAnchor>
  <xdr:twoCellAnchor>
    <xdr:from>
      <xdr:col>0</xdr:col>
      <xdr:colOff>0</xdr:colOff>
      <xdr:row>60</xdr:row>
      <xdr:rowOff>132413</xdr:rowOff>
    </xdr:from>
    <xdr:to>
      <xdr:col>12</xdr:col>
      <xdr:colOff>0</xdr:colOff>
      <xdr:row>64</xdr:row>
      <xdr:rowOff>14156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D439B77-A278-448F-A76F-0C3E92C11B4A}"/>
            </a:ext>
          </a:extLst>
        </xdr:cNvPr>
        <xdr:cNvSpPr txBox="1"/>
      </xdr:nvSpPr>
      <xdr:spPr>
        <a:xfrm>
          <a:off x="0" y="21477938"/>
          <a:ext cx="8086725" cy="529443"/>
        </a:xfrm>
        <a:prstGeom prst="rect">
          <a:avLst/>
        </a:prstGeom>
        <a:solidFill>
          <a:srgbClr val="EAEAE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Consideraciones</a:t>
          </a:r>
          <a:r>
            <a:rPr lang="es-ES" sz="1400" b="1">
              <a:latin typeface="Calibri" panose="020F0502020204030204" pitchFamily="34" charset="0"/>
              <a:cs typeface="Calibri" panose="020F0502020204030204" pitchFamily="34" charset="0"/>
            </a:rPr>
            <a:t> específicas para Canarias, Azores y Madeira</a:t>
          </a:r>
        </a:p>
      </xdr:txBody>
    </xdr:sp>
    <xdr:clientData/>
  </xdr:twoCellAnchor>
  <xdr:twoCellAnchor>
    <xdr:from>
      <xdr:col>8</xdr:col>
      <xdr:colOff>684513</xdr:colOff>
      <xdr:row>6</xdr:row>
      <xdr:rowOff>268009</xdr:rowOff>
    </xdr:from>
    <xdr:to>
      <xdr:col>11</xdr:col>
      <xdr:colOff>70140</xdr:colOff>
      <xdr:row>9</xdr:row>
      <xdr:rowOff>102429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B7B6C08E-32AA-4F23-8040-2256E22969EB}"/>
            </a:ext>
          </a:extLst>
        </xdr:cNvPr>
        <xdr:cNvSpPr/>
      </xdr:nvSpPr>
      <xdr:spPr>
        <a:xfrm rot="920876">
          <a:off x="5961363" y="5487709"/>
          <a:ext cx="1433502" cy="1472720"/>
        </a:xfrm>
        <a:prstGeom prst="ellipse">
          <a:avLst/>
        </a:prstGeom>
        <a:solidFill>
          <a:srgbClr val="D4051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683494</xdr:colOff>
      <xdr:row>6</xdr:row>
      <xdr:rowOff>407457</xdr:rowOff>
    </xdr:from>
    <xdr:to>
      <xdr:col>11</xdr:col>
      <xdr:colOff>79087</xdr:colOff>
      <xdr:row>7</xdr:row>
      <xdr:rowOff>1022241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F4863DA-21D0-4B14-83CF-0E65ABA3E462}"/>
            </a:ext>
          </a:extLst>
        </xdr:cNvPr>
        <xdr:cNvSpPr txBox="1"/>
      </xdr:nvSpPr>
      <xdr:spPr>
        <a:xfrm rot="514091">
          <a:off x="5960344" y="5627157"/>
          <a:ext cx="1443468" cy="1024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>
              <a:solidFill>
                <a:schemeClr val="bg1"/>
              </a:solidFill>
            </a:rPr>
            <a:t>¡Más</a:t>
          </a:r>
          <a:r>
            <a:rPr lang="es-ES" sz="1200" b="1" baseline="0">
              <a:solidFill>
                <a:schemeClr val="bg1"/>
              </a:solidFill>
            </a:rPr>
            <a:t> de </a:t>
          </a:r>
        </a:p>
        <a:p>
          <a:pPr algn="ctr"/>
          <a:r>
            <a:rPr lang="es-ES" sz="1200" b="1" baseline="0">
              <a:solidFill>
                <a:schemeClr val="bg1"/>
              </a:solidFill>
            </a:rPr>
            <a:t>80 años de </a:t>
          </a:r>
        </a:p>
        <a:p>
          <a:pPr algn="ctr"/>
          <a:r>
            <a:rPr lang="es-ES" sz="1200" b="1" baseline="0">
              <a:solidFill>
                <a:schemeClr val="bg1"/>
              </a:solidFill>
            </a:rPr>
            <a:t>experiencia</a:t>
          </a:r>
        </a:p>
        <a:p>
          <a:pPr algn="ctr"/>
          <a:r>
            <a:rPr lang="es-ES" sz="1200" b="1" baseline="0">
              <a:solidFill>
                <a:schemeClr val="bg1"/>
              </a:solidFill>
            </a:rPr>
            <a:t>en transporte!</a:t>
          </a:r>
          <a:endParaRPr lang="es-E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16810</xdr:colOff>
      <xdr:row>15</xdr:row>
      <xdr:rowOff>72036</xdr:rowOff>
    </xdr:from>
    <xdr:to>
      <xdr:col>8</xdr:col>
      <xdr:colOff>428625</xdr:colOff>
      <xdr:row>16</xdr:row>
      <xdr:rowOff>619124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2D98090-9BAB-4567-9879-2805895B0398}"/>
            </a:ext>
          </a:extLst>
        </xdr:cNvPr>
        <xdr:cNvSpPr txBox="1"/>
      </xdr:nvSpPr>
      <xdr:spPr>
        <a:xfrm>
          <a:off x="293035" y="12445011"/>
          <a:ext cx="5412440" cy="10423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s-ES" sz="1100">
              <a:solidFill>
                <a:srgbClr val="D40511"/>
              </a:solidFill>
              <a:latin typeface="+mn-lt"/>
            </a:rPr>
          </a:br>
          <a:r>
            <a:rPr lang="es-ES" sz="2000">
              <a:solidFill>
                <a:srgbClr val="D40511"/>
              </a:solidFill>
              <a:latin typeface="+mn-lt"/>
            </a:rPr>
            <a:t>DHL PARCEL EUROPLUS DOMÉSTICO</a:t>
          </a:r>
        </a:p>
        <a:p>
          <a:r>
            <a:rPr lang="es-ES" sz="2400" b="1">
              <a:solidFill>
                <a:srgbClr val="D40511"/>
              </a:solidFill>
              <a:latin typeface="+mn-lt"/>
            </a:rPr>
            <a:t>CONSIDERACIONES ESPECÍFICAS</a:t>
          </a:r>
        </a:p>
        <a:p>
          <a:endParaRPr lang="es-ES" sz="1100"/>
        </a:p>
      </xdr:txBody>
    </xdr:sp>
    <xdr:clientData/>
  </xdr:twoCellAnchor>
  <xdr:twoCellAnchor editAs="oneCell">
    <xdr:from>
      <xdr:col>0</xdr:col>
      <xdr:colOff>1</xdr:colOff>
      <xdr:row>0</xdr:row>
      <xdr:rowOff>33617</xdr:rowOff>
    </xdr:from>
    <xdr:to>
      <xdr:col>12</xdr:col>
      <xdr:colOff>11206</xdr:colOff>
      <xdr:row>2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7DAC81C-DBBA-4895-BDBF-812FA78E1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3617"/>
          <a:ext cx="8097930" cy="33382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434709</xdr:colOff>
      <xdr:row>2</xdr:row>
      <xdr:rowOff>136712</xdr:rowOff>
    </xdr:from>
    <xdr:ext cx="2458608" cy="362677"/>
    <xdr:pic>
      <xdr:nvPicPr>
        <xdr:cNvPr id="2" name="Picture 1" descr="DHL_rgb_BG.png">
          <a:extLst>
            <a:ext uri="{FF2B5EF4-FFF2-40B4-BE49-F238E27FC236}">
              <a16:creationId xmlns:a16="http://schemas.microsoft.com/office/drawing/2014/main" id="{6D39C208-ECE9-4D25-945C-4469E907E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26259" y="308162"/>
          <a:ext cx="2458608" cy="362677"/>
        </a:xfrm>
        <a:prstGeom prst="rect">
          <a:avLst/>
        </a:prstGeom>
      </xdr:spPr>
    </xdr:pic>
    <xdr:clientData/>
  </xdr:oneCellAnchor>
  <xdr:twoCellAnchor editAs="oneCell">
    <xdr:from>
      <xdr:col>18</xdr:col>
      <xdr:colOff>781610</xdr:colOff>
      <xdr:row>20</xdr:row>
      <xdr:rowOff>128307</xdr:rowOff>
    </xdr:from>
    <xdr:to>
      <xdr:col>20</xdr:col>
      <xdr:colOff>2353235</xdr:colOff>
      <xdr:row>50</xdr:row>
      <xdr:rowOff>213845</xdr:rowOff>
    </xdr:to>
    <xdr:pic>
      <xdr:nvPicPr>
        <xdr:cNvPr id="3" name="Picture 2" descr="10">
          <a:extLst>
            <a:ext uri="{FF2B5EF4-FFF2-40B4-BE49-F238E27FC236}">
              <a16:creationId xmlns:a16="http://schemas.microsoft.com/office/drawing/2014/main" id="{4DB5E201-4E19-425A-B38A-997B048B2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665698" y="4913219"/>
          <a:ext cx="5011831" cy="61591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347382</xdr:colOff>
      <xdr:row>1</xdr:row>
      <xdr:rowOff>120566</xdr:rowOff>
    </xdr:from>
    <xdr:ext cx="1916207" cy="271853"/>
    <xdr:pic>
      <xdr:nvPicPr>
        <xdr:cNvPr id="2" name="Picture 1" descr="DHL_rgb_BG.png">
          <a:extLst>
            <a:ext uri="{FF2B5EF4-FFF2-40B4-BE49-F238E27FC236}">
              <a16:creationId xmlns:a16="http://schemas.microsoft.com/office/drawing/2014/main" id="{E4AFF7FA-D023-4C67-8DEF-BC1BDA519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15132" y="520616"/>
          <a:ext cx="1916207" cy="27185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pdhl-my.sharepoint.com/personal/c_terron_dhl_com/Documents/Mis%20documentos%20D/HERRAMIENTAS%202026/HERRAMIENTAS%20B2B/992026%20(Antigua)/IDM_B2BD_992026_Tarifas_Bulto.xlsm" TargetMode="External"/><Relationship Id="rId1" Type="http://schemas.openxmlformats.org/officeDocument/2006/relationships/externalLinkPath" Target="https://dpdhl-my.sharepoint.com/personal/c_terron_dhl_com/Documents/Mis%20documentos%20D/HERRAMIENTAS%202026/HERRAMIENTAS%20B2B/992026%20(Antigua)/IDM_B2BD_992026_Tarifas_Bult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 E&amp;P"/>
      <sheetName val="Política"/>
      <sheetName val="Utilización hta. por bulto"/>
      <sheetName val="Portada"/>
      <sheetName val="CONDICIONES ESPECIALES"/>
      <sheetName val="Perfil"/>
      <sheetName val="VAS_B2BD"/>
      <sheetName val="INICIO"/>
      <sheetName val="CENTRO"/>
      <sheetName val="CAT Y BAL"/>
      <sheetName val="NORTE"/>
      <sheetName val="ARAGON Y LEVANTE"/>
      <sheetName val="OESTE"/>
      <sheetName val="ANDALUCIA"/>
      <sheetName val="01"/>
      <sheetName val="02"/>
      <sheetName val="03"/>
      <sheetName val="04"/>
      <sheetName val="05"/>
      <sheetName val="06"/>
      <sheetName val="068"/>
      <sheetName val="07"/>
      <sheetName val="077"/>
      <sheetName val="078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Info_Adicional"/>
      <sheetName val="IDM_B2BD_992026_Tarifas_Bulto"/>
    </sheetNames>
    <sheetDataSet>
      <sheetData sheetId="0">
        <row r="9">
          <cell r="A9" t="str">
            <v>PESO</v>
          </cell>
          <cell r="B9" t="str">
            <v>A</v>
          </cell>
          <cell r="C9" t="str">
            <v>B</v>
          </cell>
          <cell r="D9" t="str">
            <v>C</v>
          </cell>
          <cell r="E9" t="str">
            <v>D</v>
          </cell>
          <cell r="F9" t="str">
            <v>F</v>
          </cell>
          <cell r="G9" t="str">
            <v>G</v>
          </cell>
          <cell r="H9" t="str">
            <v>H</v>
          </cell>
          <cell r="I9" t="str">
            <v>I</v>
          </cell>
          <cell r="J9" t="str">
            <v>J</v>
          </cell>
          <cell r="K9" t="str">
            <v>K</v>
          </cell>
          <cell r="L9" t="str">
            <v>L</v>
          </cell>
          <cell r="M9" t="str">
            <v>M</v>
          </cell>
          <cell r="N9" t="str">
            <v>N</v>
          </cell>
          <cell r="O9" t="str">
            <v>B3</v>
          </cell>
          <cell r="P9" t="str">
            <v>B4</v>
          </cell>
          <cell r="Q9" t="str">
            <v>O</v>
          </cell>
          <cell r="R9" t="str">
            <v>P</v>
          </cell>
          <cell r="S9" t="str">
            <v>Q</v>
          </cell>
          <cell r="T9" t="str">
            <v>S</v>
          </cell>
          <cell r="U9" t="str">
            <v>R1</v>
          </cell>
          <cell r="V9" t="str">
            <v>R2</v>
          </cell>
        </row>
        <row r="10">
          <cell r="A10">
            <v>5</v>
          </cell>
          <cell r="B10">
            <v>12.67</v>
          </cell>
          <cell r="C10">
            <v>15.01</v>
          </cell>
          <cell r="D10">
            <v>16.190000000000001</v>
          </cell>
          <cell r="E10">
            <v>16.71</v>
          </cell>
          <cell r="F10">
            <v>17.34</v>
          </cell>
          <cell r="G10">
            <v>18.45</v>
          </cell>
          <cell r="H10">
            <v>20.75</v>
          </cell>
          <cell r="I10">
            <v>23.6</v>
          </cell>
          <cell r="J10">
            <v>25.88</v>
          </cell>
          <cell r="K10">
            <v>27.69</v>
          </cell>
          <cell r="L10">
            <v>29.42</v>
          </cell>
          <cell r="M10">
            <v>31.83</v>
          </cell>
          <cell r="N10">
            <v>39.479999999999997</v>
          </cell>
          <cell r="O10">
            <v>32.42</v>
          </cell>
          <cell r="P10">
            <v>40.24</v>
          </cell>
          <cell r="Q10">
            <v>44.78</v>
          </cell>
          <cell r="R10">
            <v>47.53</v>
          </cell>
          <cell r="S10">
            <v>53.48</v>
          </cell>
          <cell r="T10">
            <v>126.02</v>
          </cell>
          <cell r="U10">
            <v>11.12</v>
          </cell>
          <cell r="V10">
            <v>24.81</v>
          </cell>
        </row>
        <row r="11">
          <cell r="A11">
            <v>10</v>
          </cell>
          <cell r="B11">
            <v>13.53</v>
          </cell>
          <cell r="C11">
            <v>16.04</v>
          </cell>
          <cell r="D11">
            <v>17.3</v>
          </cell>
          <cell r="E11">
            <v>18.350000000000001</v>
          </cell>
          <cell r="F11">
            <v>18.45</v>
          </cell>
          <cell r="G11">
            <v>19.649999999999999</v>
          </cell>
          <cell r="H11">
            <v>22.14</v>
          </cell>
          <cell r="I11">
            <v>25.27</v>
          </cell>
          <cell r="J11">
            <v>27.7</v>
          </cell>
          <cell r="K11">
            <v>29.54</v>
          </cell>
          <cell r="L11">
            <v>31.38</v>
          </cell>
          <cell r="M11">
            <v>34.04</v>
          </cell>
          <cell r="N11">
            <v>42.22</v>
          </cell>
          <cell r="O11">
            <v>34.67</v>
          </cell>
          <cell r="P11">
            <v>43.01</v>
          </cell>
          <cell r="Q11">
            <v>47.84</v>
          </cell>
          <cell r="R11">
            <v>50.78</v>
          </cell>
          <cell r="S11">
            <v>57.13</v>
          </cell>
          <cell r="T11">
            <v>131.66</v>
          </cell>
          <cell r="U11">
            <v>11.92</v>
          </cell>
          <cell r="V11">
            <v>26.12</v>
          </cell>
        </row>
        <row r="12">
          <cell r="A12">
            <v>20</v>
          </cell>
          <cell r="B12">
            <v>17.329999999999998</v>
          </cell>
          <cell r="C12">
            <v>20.38</v>
          </cell>
          <cell r="D12">
            <v>21.99</v>
          </cell>
          <cell r="E12">
            <v>24.48</v>
          </cell>
          <cell r="F12">
            <v>26.54</v>
          </cell>
          <cell r="G12">
            <v>28.34</v>
          </cell>
          <cell r="H12">
            <v>31.85</v>
          </cell>
          <cell r="I12">
            <v>36.32</v>
          </cell>
          <cell r="J12">
            <v>39.85</v>
          </cell>
          <cell r="K12">
            <v>42.52</v>
          </cell>
          <cell r="L12">
            <v>45.18</v>
          </cell>
          <cell r="M12">
            <v>48.89</v>
          </cell>
          <cell r="N12">
            <v>60.7</v>
          </cell>
          <cell r="O12">
            <v>49.8</v>
          </cell>
          <cell r="P12">
            <v>61.83</v>
          </cell>
          <cell r="Q12">
            <v>68.72</v>
          </cell>
          <cell r="R12">
            <v>73.040000000000006</v>
          </cell>
          <cell r="S12">
            <v>82.17</v>
          </cell>
          <cell r="T12">
            <v>175.82</v>
          </cell>
          <cell r="U12">
            <v>14.58</v>
          </cell>
          <cell r="V12">
            <v>26.89</v>
          </cell>
        </row>
        <row r="13">
          <cell r="A13">
            <v>30</v>
          </cell>
          <cell r="B13">
            <v>20.72</v>
          </cell>
          <cell r="C13">
            <v>24.54</v>
          </cell>
          <cell r="D13">
            <v>26.39</v>
          </cell>
          <cell r="E13">
            <v>30.21</v>
          </cell>
          <cell r="F13">
            <v>34.44</v>
          </cell>
          <cell r="G13">
            <v>36.729999999999997</v>
          </cell>
          <cell r="H13">
            <v>41.31</v>
          </cell>
          <cell r="I13">
            <v>47.06</v>
          </cell>
          <cell r="J13">
            <v>51.63</v>
          </cell>
          <cell r="K13">
            <v>55.15</v>
          </cell>
          <cell r="L13">
            <v>58.54</v>
          </cell>
          <cell r="M13">
            <v>63.4</v>
          </cell>
          <cell r="N13">
            <v>78.72</v>
          </cell>
          <cell r="O13">
            <v>64.59</v>
          </cell>
          <cell r="P13">
            <v>80.209999999999994</v>
          </cell>
          <cell r="Q13">
            <v>89.12</v>
          </cell>
          <cell r="R13">
            <v>94.68</v>
          </cell>
          <cell r="S13">
            <v>106.48</v>
          </cell>
          <cell r="T13">
            <v>229.38</v>
          </cell>
          <cell r="U13">
            <v>17.13</v>
          </cell>
          <cell r="V13">
            <v>29.43</v>
          </cell>
        </row>
        <row r="14">
          <cell r="A14">
            <v>40</v>
          </cell>
          <cell r="B14">
            <v>24.56</v>
          </cell>
          <cell r="C14">
            <v>29.05</v>
          </cell>
          <cell r="D14">
            <v>31.2</v>
          </cell>
          <cell r="E14">
            <v>36.130000000000003</v>
          </cell>
          <cell r="F14">
            <v>41.87</v>
          </cell>
          <cell r="G14">
            <v>44.65</v>
          </cell>
          <cell r="H14">
            <v>50.25</v>
          </cell>
          <cell r="I14">
            <v>57.21</v>
          </cell>
          <cell r="J14">
            <v>62.78</v>
          </cell>
          <cell r="K14">
            <v>67.02</v>
          </cell>
          <cell r="L14">
            <v>71.19</v>
          </cell>
          <cell r="M14">
            <v>77.08</v>
          </cell>
          <cell r="N14">
            <v>95.69</v>
          </cell>
          <cell r="O14">
            <v>78.53</v>
          </cell>
          <cell r="P14">
            <v>97.49</v>
          </cell>
          <cell r="Q14">
            <v>108.31</v>
          </cell>
          <cell r="R14">
            <v>115.09</v>
          </cell>
          <cell r="S14">
            <v>129.44</v>
          </cell>
          <cell r="T14">
            <v>277.27999999999997</v>
          </cell>
          <cell r="U14">
            <v>20.41</v>
          </cell>
          <cell r="V14">
            <v>32.31</v>
          </cell>
        </row>
        <row r="15">
          <cell r="A15">
            <v>50</v>
          </cell>
          <cell r="B15">
            <v>27.99</v>
          </cell>
          <cell r="C15">
            <v>33.03</v>
          </cell>
          <cell r="D15">
            <v>35.619999999999997</v>
          </cell>
          <cell r="E15">
            <v>41.23</v>
          </cell>
          <cell r="F15">
            <v>47.89</v>
          </cell>
          <cell r="G15">
            <v>51.03</v>
          </cell>
          <cell r="H15">
            <v>57.43</v>
          </cell>
          <cell r="I15">
            <v>65.44</v>
          </cell>
          <cell r="J15">
            <v>71.930000000000007</v>
          </cell>
          <cell r="K15">
            <v>76.62</v>
          </cell>
          <cell r="L15">
            <v>81.400000000000006</v>
          </cell>
          <cell r="M15">
            <v>88.17</v>
          </cell>
          <cell r="N15">
            <v>109.47</v>
          </cell>
          <cell r="O15">
            <v>89.85</v>
          </cell>
          <cell r="P15">
            <v>111.51</v>
          </cell>
          <cell r="Q15">
            <v>123.89</v>
          </cell>
          <cell r="R15">
            <v>131.71</v>
          </cell>
          <cell r="S15">
            <v>148.11000000000001</v>
          </cell>
          <cell r="T15">
            <v>348.21</v>
          </cell>
          <cell r="U15">
            <v>23.47</v>
          </cell>
          <cell r="V15">
            <v>34.81</v>
          </cell>
        </row>
        <row r="16">
          <cell r="A16">
            <v>60</v>
          </cell>
          <cell r="B16">
            <v>31.3</v>
          </cell>
          <cell r="C16">
            <v>36.92</v>
          </cell>
          <cell r="D16">
            <v>39.770000000000003</v>
          </cell>
          <cell r="E16">
            <v>47.22</v>
          </cell>
          <cell r="F16">
            <v>53.99</v>
          </cell>
          <cell r="G16">
            <v>57.58</v>
          </cell>
          <cell r="H16">
            <v>64.849999999999994</v>
          </cell>
          <cell r="I16">
            <v>73.8</v>
          </cell>
          <cell r="J16">
            <v>81.010000000000005</v>
          </cell>
          <cell r="K16">
            <v>86.37</v>
          </cell>
          <cell r="L16">
            <v>91.85</v>
          </cell>
          <cell r="M16">
            <v>99.47</v>
          </cell>
          <cell r="N16">
            <v>123.44</v>
          </cell>
          <cell r="O16">
            <v>101.33</v>
          </cell>
          <cell r="P16">
            <v>125.73</v>
          </cell>
          <cell r="Q16">
            <v>139.69999999999999</v>
          </cell>
          <cell r="R16">
            <v>148.47999999999999</v>
          </cell>
          <cell r="S16">
            <v>167</v>
          </cell>
          <cell r="T16">
            <v>415.93</v>
          </cell>
          <cell r="U16">
            <v>24.12</v>
          </cell>
          <cell r="V16">
            <v>37.450000000000003</v>
          </cell>
        </row>
        <row r="17">
          <cell r="A17">
            <v>70</v>
          </cell>
          <cell r="B17">
            <v>34.75</v>
          </cell>
          <cell r="C17">
            <v>41.07</v>
          </cell>
          <cell r="D17">
            <v>44.28</v>
          </cell>
          <cell r="E17">
            <v>52.49</v>
          </cell>
          <cell r="F17">
            <v>60.09</v>
          </cell>
          <cell r="G17">
            <v>64.08</v>
          </cell>
          <cell r="H17">
            <v>72.11</v>
          </cell>
          <cell r="I17">
            <v>82.17</v>
          </cell>
          <cell r="J17">
            <v>90.2</v>
          </cell>
          <cell r="K17">
            <v>96.22</v>
          </cell>
          <cell r="L17">
            <v>102.2</v>
          </cell>
          <cell r="M17">
            <v>110.68</v>
          </cell>
          <cell r="N17">
            <v>137.41</v>
          </cell>
          <cell r="O17">
            <v>112.77</v>
          </cell>
          <cell r="P17">
            <v>140.01</v>
          </cell>
          <cell r="Q17">
            <v>155.58000000000001</v>
          </cell>
          <cell r="R17">
            <v>165.27</v>
          </cell>
          <cell r="S17">
            <v>185.87</v>
          </cell>
          <cell r="T17">
            <v>470.16</v>
          </cell>
          <cell r="U17">
            <v>27.06</v>
          </cell>
          <cell r="V17">
            <v>39.99</v>
          </cell>
        </row>
        <row r="18">
          <cell r="A18">
            <v>80</v>
          </cell>
          <cell r="B18">
            <v>38.299999999999997</v>
          </cell>
          <cell r="C18">
            <v>45.27</v>
          </cell>
          <cell r="D18">
            <v>48.69</v>
          </cell>
          <cell r="E18">
            <v>57.83</v>
          </cell>
          <cell r="F18">
            <v>66.22</v>
          </cell>
          <cell r="G18">
            <v>70.66</v>
          </cell>
          <cell r="H18">
            <v>79.48</v>
          </cell>
          <cell r="I18">
            <v>90.51</v>
          </cell>
          <cell r="J18">
            <v>99.42</v>
          </cell>
          <cell r="K18">
            <v>105.99</v>
          </cell>
          <cell r="L18">
            <v>112.58</v>
          </cell>
          <cell r="M18">
            <v>121.89</v>
          </cell>
          <cell r="N18">
            <v>151.4</v>
          </cell>
          <cell r="O18">
            <v>124.19</v>
          </cell>
          <cell r="P18">
            <v>154.29</v>
          </cell>
          <cell r="Q18">
            <v>171.4</v>
          </cell>
          <cell r="R18">
            <v>182.1</v>
          </cell>
          <cell r="S18">
            <v>204.83</v>
          </cell>
          <cell r="T18">
            <v>519.80999999999995</v>
          </cell>
          <cell r="U18">
            <v>29.37</v>
          </cell>
          <cell r="V18">
            <v>42.59</v>
          </cell>
        </row>
        <row r="19">
          <cell r="A19">
            <v>90</v>
          </cell>
          <cell r="B19">
            <v>41.89</v>
          </cell>
          <cell r="C19">
            <v>49.44</v>
          </cell>
          <cell r="D19">
            <v>53.3</v>
          </cell>
          <cell r="E19">
            <v>59.6</v>
          </cell>
          <cell r="F19">
            <v>72.03</v>
          </cell>
          <cell r="G19">
            <v>76.89</v>
          </cell>
          <cell r="H19">
            <v>86.5</v>
          </cell>
          <cell r="I19">
            <v>98.47</v>
          </cell>
          <cell r="J19">
            <v>108.12</v>
          </cell>
          <cell r="K19">
            <v>115.39</v>
          </cell>
          <cell r="L19">
            <v>122.47</v>
          </cell>
          <cell r="M19">
            <v>132.68</v>
          </cell>
          <cell r="N19">
            <v>164.72</v>
          </cell>
          <cell r="O19">
            <v>135.16</v>
          </cell>
          <cell r="P19">
            <v>167.84</v>
          </cell>
          <cell r="Q19">
            <v>186.48</v>
          </cell>
          <cell r="R19">
            <v>198.07</v>
          </cell>
          <cell r="S19">
            <v>222.77</v>
          </cell>
          <cell r="T19">
            <v>574.19000000000005</v>
          </cell>
          <cell r="U19">
            <v>32.880000000000003</v>
          </cell>
          <cell r="V19">
            <v>45.11</v>
          </cell>
        </row>
        <row r="20">
          <cell r="A20">
            <v>100</v>
          </cell>
          <cell r="B20">
            <v>45.44</v>
          </cell>
          <cell r="C20">
            <v>53.77</v>
          </cell>
          <cell r="D20">
            <v>57.88</v>
          </cell>
          <cell r="E20">
            <v>64.73</v>
          </cell>
          <cell r="F20">
            <v>78.510000000000005</v>
          </cell>
          <cell r="G20">
            <v>83.66</v>
          </cell>
          <cell r="H20">
            <v>94.15</v>
          </cell>
          <cell r="I20">
            <v>107.2</v>
          </cell>
          <cell r="J20">
            <v>117.65</v>
          </cell>
          <cell r="K20">
            <v>125.59</v>
          </cell>
          <cell r="L20">
            <v>133.35</v>
          </cell>
          <cell r="M20">
            <v>144.38999999999999</v>
          </cell>
          <cell r="N20">
            <v>179.33</v>
          </cell>
          <cell r="O20">
            <v>147.11000000000001</v>
          </cell>
          <cell r="P20">
            <v>182.67</v>
          </cell>
          <cell r="Q20">
            <v>202.96</v>
          </cell>
          <cell r="R20">
            <v>215.7</v>
          </cell>
          <cell r="S20">
            <v>242.58</v>
          </cell>
          <cell r="T20">
            <v>621.51</v>
          </cell>
          <cell r="U20">
            <v>36.299999999999997</v>
          </cell>
          <cell r="V20">
            <v>47.7</v>
          </cell>
        </row>
        <row r="21">
          <cell r="A21">
            <v>125</v>
          </cell>
          <cell r="B21">
            <v>51.19</v>
          </cell>
          <cell r="C21">
            <v>60.51</v>
          </cell>
          <cell r="D21">
            <v>65.17</v>
          </cell>
          <cell r="E21">
            <v>73.209999999999994</v>
          </cell>
          <cell r="F21">
            <v>89.24</v>
          </cell>
          <cell r="G21">
            <v>95.15</v>
          </cell>
          <cell r="H21">
            <v>107.11</v>
          </cell>
          <cell r="I21">
            <v>121.89</v>
          </cell>
          <cell r="J21">
            <v>133.85</v>
          </cell>
          <cell r="K21">
            <v>142.72999999999999</v>
          </cell>
          <cell r="L21">
            <v>151.62</v>
          </cell>
          <cell r="M21">
            <v>164.29</v>
          </cell>
          <cell r="N21">
            <v>203.97</v>
          </cell>
          <cell r="O21">
            <v>167.36</v>
          </cell>
          <cell r="P21">
            <v>207.8</v>
          </cell>
          <cell r="Q21">
            <v>230.88</v>
          </cell>
          <cell r="R21">
            <v>245.34</v>
          </cell>
          <cell r="S21">
            <v>260.04000000000002</v>
          </cell>
          <cell r="T21">
            <v>742.22</v>
          </cell>
          <cell r="U21">
            <v>40.67</v>
          </cell>
          <cell r="V21">
            <v>48.38</v>
          </cell>
        </row>
        <row r="22">
          <cell r="A22">
            <v>150</v>
          </cell>
          <cell r="B22">
            <v>60.03</v>
          </cell>
          <cell r="C22">
            <v>70.87</v>
          </cell>
          <cell r="D22">
            <v>76.37</v>
          </cell>
          <cell r="E22">
            <v>85.48</v>
          </cell>
          <cell r="F22">
            <v>103.89</v>
          </cell>
          <cell r="G22">
            <v>110.77</v>
          </cell>
          <cell r="H22">
            <v>124.66</v>
          </cell>
          <cell r="I22">
            <v>142</v>
          </cell>
          <cell r="J22">
            <v>155.76</v>
          </cell>
          <cell r="K22">
            <v>166.25</v>
          </cell>
          <cell r="L22">
            <v>176.6</v>
          </cell>
          <cell r="M22">
            <v>191.3</v>
          </cell>
          <cell r="N22">
            <v>237.44</v>
          </cell>
          <cell r="O22">
            <v>194.91</v>
          </cell>
          <cell r="P22">
            <v>241.91</v>
          </cell>
          <cell r="Q22">
            <v>268.83999999999997</v>
          </cell>
          <cell r="R22">
            <v>285.58999999999997</v>
          </cell>
          <cell r="S22">
            <v>312.06</v>
          </cell>
          <cell r="T22">
            <v>890.76</v>
          </cell>
          <cell r="U22">
            <v>49.18</v>
          </cell>
          <cell r="V22">
            <v>58.09</v>
          </cell>
        </row>
        <row r="23">
          <cell r="A23">
            <v>175</v>
          </cell>
          <cell r="B23">
            <v>67.680000000000007</v>
          </cell>
          <cell r="C23">
            <v>80.010000000000005</v>
          </cell>
          <cell r="D23">
            <v>86.12</v>
          </cell>
          <cell r="E23">
            <v>96.52</v>
          </cell>
          <cell r="F23">
            <v>117.17</v>
          </cell>
          <cell r="G23">
            <v>124.98</v>
          </cell>
          <cell r="H23">
            <v>140.62</v>
          </cell>
          <cell r="I23">
            <v>160.09</v>
          </cell>
          <cell r="J23">
            <v>175.67</v>
          </cell>
          <cell r="K23">
            <v>187.48</v>
          </cell>
          <cell r="L23">
            <v>199.14</v>
          </cell>
          <cell r="M23">
            <v>215.67</v>
          </cell>
          <cell r="N23">
            <v>267.74</v>
          </cell>
          <cell r="O23">
            <v>219.78</v>
          </cell>
          <cell r="P23">
            <v>272.77999999999997</v>
          </cell>
          <cell r="Q23">
            <v>303.17</v>
          </cell>
          <cell r="R23">
            <v>322.07</v>
          </cell>
          <cell r="S23">
            <v>376.73</v>
          </cell>
          <cell r="T23">
            <v>1075.49</v>
          </cell>
          <cell r="U23">
            <v>55.74</v>
          </cell>
          <cell r="V23">
            <v>70.099999999999994</v>
          </cell>
        </row>
        <row r="24">
          <cell r="A24">
            <v>200</v>
          </cell>
          <cell r="B24">
            <v>75.84</v>
          </cell>
          <cell r="C24">
            <v>89.61</v>
          </cell>
          <cell r="D24">
            <v>96.54</v>
          </cell>
          <cell r="E24">
            <v>108.07</v>
          </cell>
          <cell r="F24">
            <v>131.13999999999999</v>
          </cell>
          <cell r="G24">
            <v>139.82</v>
          </cell>
          <cell r="H24">
            <v>157.35</v>
          </cell>
          <cell r="I24">
            <v>179.11</v>
          </cell>
          <cell r="J24">
            <v>196.65</v>
          </cell>
          <cell r="K24">
            <v>209.73</v>
          </cell>
          <cell r="L24">
            <v>222.83</v>
          </cell>
          <cell r="M24">
            <v>241.33</v>
          </cell>
          <cell r="N24">
            <v>299.63</v>
          </cell>
          <cell r="O24">
            <v>245.89</v>
          </cell>
          <cell r="P24">
            <v>305.24</v>
          </cell>
          <cell r="Q24">
            <v>339.13</v>
          </cell>
          <cell r="R24">
            <v>360.38</v>
          </cell>
          <cell r="S24">
            <v>421.57</v>
          </cell>
          <cell r="T24">
            <v>1229.1600000000001</v>
          </cell>
          <cell r="U24">
            <v>64.08</v>
          </cell>
          <cell r="V24">
            <v>80.19</v>
          </cell>
        </row>
        <row r="25">
          <cell r="A25">
            <v>250</v>
          </cell>
          <cell r="B25">
            <v>86.13</v>
          </cell>
          <cell r="C25">
            <v>101.89</v>
          </cell>
          <cell r="D25">
            <v>109.68</v>
          </cell>
          <cell r="E25">
            <v>122.83</v>
          </cell>
          <cell r="F25">
            <v>149.24</v>
          </cell>
          <cell r="G25">
            <v>159.24</v>
          </cell>
          <cell r="H25">
            <v>179.09</v>
          </cell>
          <cell r="I25">
            <v>204.03</v>
          </cell>
          <cell r="J25">
            <v>223.94</v>
          </cell>
          <cell r="K25">
            <v>238.89</v>
          </cell>
          <cell r="L25">
            <v>253.81</v>
          </cell>
          <cell r="M25">
            <v>274.85000000000002</v>
          </cell>
          <cell r="N25">
            <v>341.11</v>
          </cell>
          <cell r="O25">
            <v>279.97000000000003</v>
          </cell>
          <cell r="P25">
            <v>347.55</v>
          </cell>
          <cell r="Q25">
            <v>386.23</v>
          </cell>
          <cell r="R25">
            <v>410.32</v>
          </cell>
          <cell r="S25">
            <v>460.36</v>
          </cell>
          <cell r="T25">
            <v>1472.8</v>
          </cell>
          <cell r="U25">
            <v>71.78</v>
          </cell>
          <cell r="V25">
            <v>90.16</v>
          </cell>
        </row>
        <row r="26">
          <cell r="A26">
            <v>300</v>
          </cell>
          <cell r="B26">
            <v>96.83</v>
          </cell>
          <cell r="C26">
            <v>114.39</v>
          </cell>
          <cell r="D26">
            <v>123.22</v>
          </cell>
          <cell r="E26">
            <v>138.35</v>
          </cell>
          <cell r="F26">
            <v>168.71</v>
          </cell>
          <cell r="G26">
            <v>179.91</v>
          </cell>
          <cell r="H26">
            <v>202.4</v>
          </cell>
          <cell r="I26">
            <v>230.49</v>
          </cell>
          <cell r="J26">
            <v>252.99</v>
          </cell>
          <cell r="K26">
            <v>269.89</v>
          </cell>
          <cell r="L26">
            <v>286.68</v>
          </cell>
          <cell r="M26">
            <v>310.61</v>
          </cell>
          <cell r="N26">
            <v>385.46</v>
          </cell>
          <cell r="O26">
            <v>316.39</v>
          </cell>
          <cell r="P26">
            <v>392.69</v>
          </cell>
          <cell r="Q26">
            <v>436.42</v>
          </cell>
          <cell r="R26">
            <v>463.63</v>
          </cell>
          <cell r="S26">
            <v>499.1</v>
          </cell>
          <cell r="T26">
            <v>1767.37</v>
          </cell>
          <cell r="U26">
            <v>78.16</v>
          </cell>
          <cell r="V26">
            <v>108.2</v>
          </cell>
        </row>
        <row r="27">
          <cell r="A27">
            <v>350</v>
          </cell>
          <cell r="B27">
            <v>107.81</v>
          </cell>
          <cell r="C27">
            <v>127.36</v>
          </cell>
          <cell r="D27">
            <v>137.19999999999999</v>
          </cell>
          <cell r="E27">
            <v>154.54</v>
          </cell>
          <cell r="F27">
            <v>189.15</v>
          </cell>
          <cell r="G27">
            <v>201.71</v>
          </cell>
          <cell r="H27">
            <v>226.97</v>
          </cell>
          <cell r="I27">
            <v>258.52999999999997</v>
          </cell>
          <cell r="J27">
            <v>283.79000000000002</v>
          </cell>
          <cell r="K27">
            <v>302.7</v>
          </cell>
          <cell r="L27">
            <v>321.64999999999998</v>
          </cell>
          <cell r="M27">
            <v>348.3</v>
          </cell>
          <cell r="N27">
            <v>432.35</v>
          </cell>
          <cell r="O27">
            <v>354.81</v>
          </cell>
          <cell r="P27">
            <v>440.49</v>
          </cell>
          <cell r="Q27">
            <v>489.47</v>
          </cell>
          <cell r="R27">
            <v>519.99</v>
          </cell>
          <cell r="S27">
            <v>582.29</v>
          </cell>
          <cell r="T27">
            <v>2061.88</v>
          </cell>
          <cell r="U27">
            <v>86.1</v>
          </cell>
          <cell r="V27">
            <v>126.17</v>
          </cell>
        </row>
        <row r="28">
          <cell r="A28">
            <v>400</v>
          </cell>
          <cell r="B28">
            <v>118.83</v>
          </cell>
          <cell r="C28">
            <v>140.41</v>
          </cell>
          <cell r="D28">
            <v>151.19999999999999</v>
          </cell>
          <cell r="E28">
            <v>169.5</v>
          </cell>
          <cell r="F28">
            <v>209.08</v>
          </cell>
          <cell r="G28">
            <v>222.99</v>
          </cell>
          <cell r="H28">
            <v>250.84</v>
          </cell>
          <cell r="I28">
            <v>285.64999999999998</v>
          </cell>
          <cell r="J28">
            <v>313.58</v>
          </cell>
          <cell r="K28">
            <v>334.57</v>
          </cell>
          <cell r="L28">
            <v>355.37</v>
          </cell>
          <cell r="M28">
            <v>384.87</v>
          </cell>
          <cell r="N28">
            <v>477.8</v>
          </cell>
          <cell r="O28">
            <v>392.14</v>
          </cell>
          <cell r="P28">
            <v>486.79</v>
          </cell>
          <cell r="Q28">
            <v>540.89</v>
          </cell>
          <cell r="R28">
            <v>574.67999999999995</v>
          </cell>
          <cell r="S28">
            <v>665.37</v>
          </cell>
          <cell r="T28">
            <v>2356.44</v>
          </cell>
          <cell r="U28">
            <v>93.46</v>
          </cell>
          <cell r="V28">
            <v>144.25</v>
          </cell>
        </row>
        <row r="29">
          <cell r="A29">
            <v>450</v>
          </cell>
          <cell r="B29">
            <v>128.53</v>
          </cell>
          <cell r="C29">
            <v>151.91999999999999</v>
          </cell>
          <cell r="D29">
            <v>163.61000000000001</v>
          </cell>
          <cell r="E29">
            <v>185.48</v>
          </cell>
          <cell r="F29">
            <v>229.12</v>
          </cell>
          <cell r="G29">
            <v>244.4</v>
          </cell>
          <cell r="H29">
            <v>274.95999999999998</v>
          </cell>
          <cell r="I29">
            <v>313.16000000000003</v>
          </cell>
          <cell r="J29">
            <v>343.76</v>
          </cell>
          <cell r="K29">
            <v>366.68</v>
          </cell>
          <cell r="L29">
            <v>389.58</v>
          </cell>
          <cell r="M29">
            <v>421.89</v>
          </cell>
          <cell r="N29">
            <v>523.79</v>
          </cell>
          <cell r="O29">
            <v>429.83</v>
          </cell>
          <cell r="P29">
            <v>533.62</v>
          </cell>
          <cell r="Q29">
            <v>592.89</v>
          </cell>
          <cell r="R29">
            <v>629.98</v>
          </cell>
          <cell r="S29">
            <v>748.65</v>
          </cell>
          <cell r="T29">
            <v>2651</v>
          </cell>
          <cell r="U29">
            <v>100.58</v>
          </cell>
          <cell r="V29">
            <v>162.26</v>
          </cell>
        </row>
        <row r="30">
          <cell r="A30">
            <v>500</v>
          </cell>
          <cell r="B30">
            <v>139</v>
          </cell>
          <cell r="C30">
            <v>164.29</v>
          </cell>
          <cell r="D30">
            <v>176.9</v>
          </cell>
          <cell r="E30">
            <v>201.33</v>
          </cell>
          <cell r="F30">
            <v>250.21</v>
          </cell>
          <cell r="G30">
            <v>266.82</v>
          </cell>
          <cell r="H30">
            <v>300.13</v>
          </cell>
          <cell r="I30">
            <v>341.86</v>
          </cell>
          <cell r="J30">
            <v>375.23</v>
          </cell>
          <cell r="K30">
            <v>400.31</v>
          </cell>
          <cell r="L30">
            <v>425.29</v>
          </cell>
          <cell r="M30">
            <v>460.59</v>
          </cell>
          <cell r="N30">
            <v>571.79999999999995</v>
          </cell>
          <cell r="O30">
            <v>469.28</v>
          </cell>
          <cell r="P30">
            <v>582.57000000000005</v>
          </cell>
          <cell r="Q30">
            <v>647.30999999999995</v>
          </cell>
          <cell r="R30">
            <v>687.69</v>
          </cell>
          <cell r="S30">
            <v>831.82</v>
          </cell>
          <cell r="T30">
            <v>2945.55</v>
          </cell>
          <cell r="U30">
            <v>107.69</v>
          </cell>
          <cell r="V30">
            <v>180.32</v>
          </cell>
        </row>
        <row r="31">
          <cell r="A31">
            <v>600</v>
          </cell>
          <cell r="B31">
            <v>162.24</v>
          </cell>
          <cell r="C31">
            <v>191.68</v>
          </cell>
          <cell r="D31">
            <v>206.42</v>
          </cell>
          <cell r="E31">
            <v>231.99</v>
          </cell>
          <cell r="F31">
            <v>308.63</v>
          </cell>
          <cell r="G31">
            <v>329.21</v>
          </cell>
          <cell r="H31">
            <v>370.34</v>
          </cell>
          <cell r="I31">
            <v>421.74</v>
          </cell>
          <cell r="J31">
            <v>462.96</v>
          </cell>
          <cell r="K31">
            <v>493.89</v>
          </cell>
          <cell r="L31">
            <v>524.72</v>
          </cell>
          <cell r="M31">
            <v>568.21</v>
          </cell>
          <cell r="N31">
            <v>705.39</v>
          </cell>
          <cell r="O31">
            <v>578.95000000000005</v>
          </cell>
          <cell r="P31">
            <v>718.7</v>
          </cell>
          <cell r="Q31">
            <v>798.56</v>
          </cell>
          <cell r="R31">
            <v>848.44</v>
          </cell>
          <cell r="S31">
            <v>909.92</v>
          </cell>
          <cell r="T31">
            <v>3208.54</v>
          </cell>
          <cell r="U31">
            <v>128.88999999999999</v>
          </cell>
          <cell r="V31">
            <v>210.08</v>
          </cell>
        </row>
        <row r="32">
          <cell r="A32">
            <v>700</v>
          </cell>
          <cell r="B32">
            <v>182.25</v>
          </cell>
          <cell r="C32">
            <v>215.4</v>
          </cell>
          <cell r="D32">
            <v>231.98</v>
          </cell>
          <cell r="E32">
            <v>261.76</v>
          </cell>
          <cell r="F32">
            <v>351.17</v>
          </cell>
          <cell r="G32">
            <v>374.57</v>
          </cell>
          <cell r="H32">
            <v>421.36</v>
          </cell>
          <cell r="I32">
            <v>479.91</v>
          </cell>
          <cell r="J32">
            <v>526.77</v>
          </cell>
          <cell r="K32">
            <v>561.99</v>
          </cell>
          <cell r="L32">
            <v>596.94000000000005</v>
          </cell>
          <cell r="M32">
            <v>646.55999999999995</v>
          </cell>
          <cell r="N32">
            <v>802.67</v>
          </cell>
          <cell r="O32">
            <v>658.73</v>
          </cell>
          <cell r="P32">
            <v>817.75</v>
          </cell>
          <cell r="Q32">
            <v>908.62</v>
          </cell>
          <cell r="R32">
            <v>965.33</v>
          </cell>
          <cell r="S32">
            <v>1061.55</v>
          </cell>
          <cell r="T32">
            <v>3743.27</v>
          </cell>
          <cell r="U32">
            <v>144.9</v>
          </cell>
          <cell r="V32">
            <v>245.11</v>
          </cell>
        </row>
        <row r="33">
          <cell r="A33">
            <v>800</v>
          </cell>
          <cell r="B33">
            <v>200.93</v>
          </cell>
          <cell r="C33">
            <v>237.46</v>
          </cell>
          <cell r="D33">
            <v>255.77</v>
          </cell>
          <cell r="E33">
            <v>290.33999999999997</v>
          </cell>
          <cell r="F33">
            <v>394.15</v>
          </cell>
          <cell r="G33">
            <v>420.41</v>
          </cell>
          <cell r="H33">
            <v>472.92</v>
          </cell>
          <cell r="I33">
            <v>538.65</v>
          </cell>
          <cell r="J33">
            <v>591.26</v>
          </cell>
          <cell r="K33">
            <v>630.79999999999995</v>
          </cell>
          <cell r="L33">
            <v>670.16</v>
          </cell>
          <cell r="M33">
            <v>725.78</v>
          </cell>
          <cell r="N33">
            <v>900.95</v>
          </cell>
          <cell r="O33">
            <v>739.39</v>
          </cell>
          <cell r="P33">
            <v>917.96</v>
          </cell>
          <cell r="Q33">
            <v>1019.93</v>
          </cell>
          <cell r="R33">
            <v>1083.7</v>
          </cell>
          <cell r="S33">
            <v>1213.18</v>
          </cell>
          <cell r="T33">
            <v>4278.0600000000004</v>
          </cell>
          <cell r="U33">
            <v>161.49</v>
          </cell>
          <cell r="V33">
            <v>280.18</v>
          </cell>
        </row>
        <row r="34">
          <cell r="A34">
            <v>900</v>
          </cell>
          <cell r="B34">
            <v>221.57</v>
          </cell>
          <cell r="C34">
            <v>261.77</v>
          </cell>
          <cell r="D34">
            <v>281.98</v>
          </cell>
          <cell r="E34">
            <v>320.95</v>
          </cell>
          <cell r="F34">
            <v>437.79</v>
          </cell>
          <cell r="G34">
            <v>467.07</v>
          </cell>
          <cell r="H34">
            <v>525.33000000000004</v>
          </cell>
          <cell r="I34">
            <v>598.4</v>
          </cell>
          <cell r="J34">
            <v>656.75</v>
          </cell>
          <cell r="K34">
            <v>700.72</v>
          </cell>
          <cell r="L34">
            <v>744.3</v>
          </cell>
          <cell r="M34">
            <v>806.18</v>
          </cell>
          <cell r="N34">
            <v>1000.78</v>
          </cell>
          <cell r="O34">
            <v>821.34</v>
          </cell>
          <cell r="P34">
            <v>1019.62</v>
          </cell>
          <cell r="Q34">
            <v>1132.96</v>
          </cell>
          <cell r="R34">
            <v>1203.72</v>
          </cell>
          <cell r="S34">
            <v>1364.83</v>
          </cell>
          <cell r="T34">
            <v>4812.8599999999997</v>
          </cell>
          <cell r="U34">
            <v>178.12</v>
          </cell>
          <cell r="V34">
            <v>315.17</v>
          </cell>
        </row>
        <row r="35">
          <cell r="A35">
            <v>1000</v>
          </cell>
          <cell r="B35">
            <v>244.28</v>
          </cell>
          <cell r="C35">
            <v>288.68</v>
          </cell>
          <cell r="D35">
            <v>310.94</v>
          </cell>
          <cell r="E35">
            <v>355.04</v>
          </cell>
          <cell r="F35">
            <v>487.58</v>
          </cell>
          <cell r="G35">
            <v>520.14</v>
          </cell>
          <cell r="H35">
            <v>585.04999999999995</v>
          </cell>
          <cell r="I35">
            <v>666.39</v>
          </cell>
          <cell r="J35">
            <v>731.38</v>
          </cell>
          <cell r="K35">
            <v>780.36</v>
          </cell>
          <cell r="L35">
            <v>828.95</v>
          </cell>
          <cell r="M35">
            <v>897.79</v>
          </cell>
          <cell r="N35">
            <v>1114.5</v>
          </cell>
          <cell r="O35">
            <v>914.65</v>
          </cell>
          <cell r="P35">
            <v>1135.43</v>
          </cell>
          <cell r="Q35">
            <v>1261.6600000000001</v>
          </cell>
          <cell r="R35">
            <v>1340.53</v>
          </cell>
          <cell r="S35">
            <v>1516.47</v>
          </cell>
          <cell r="T35">
            <v>5347.56</v>
          </cell>
          <cell r="U35">
            <v>194.37</v>
          </cell>
          <cell r="V35">
            <v>350.14</v>
          </cell>
        </row>
        <row r="36">
          <cell r="A36" t="str">
            <v>€ adicional por cada 100 kg</v>
          </cell>
          <cell r="B36">
            <v>22.29</v>
          </cell>
          <cell r="C36">
            <v>26.33</v>
          </cell>
          <cell r="D36">
            <v>28.32</v>
          </cell>
          <cell r="E36">
            <v>64.290000000000006</v>
          </cell>
          <cell r="F36">
            <v>100.36</v>
          </cell>
          <cell r="G36">
            <v>102.81</v>
          </cell>
          <cell r="H36">
            <v>105.27</v>
          </cell>
          <cell r="I36">
            <v>107.69</v>
          </cell>
          <cell r="J36">
            <v>108.07</v>
          </cell>
          <cell r="K36">
            <v>118.76</v>
          </cell>
          <cell r="L36">
            <v>118.93</v>
          </cell>
          <cell r="M36">
            <v>129.62</v>
          </cell>
          <cell r="N36">
            <v>122.6</v>
          </cell>
          <cell r="O36">
            <v>141.22</v>
          </cell>
          <cell r="P36">
            <v>164.5</v>
          </cell>
          <cell r="Q36">
            <v>186.67</v>
          </cell>
          <cell r="R36">
            <v>190.86</v>
          </cell>
          <cell r="S36">
            <v>209.96</v>
          </cell>
          <cell r="T36">
            <v>534.76</v>
          </cell>
          <cell r="U36">
            <v>17.739999999999998</v>
          </cell>
          <cell r="V36">
            <v>35.020000000000003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>
            <a:alpha val="67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>
            <a:alpha val="67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6E0B-F229-48EB-B5E9-2A60CE2B3DDC}">
  <sheetPr codeName="Sheet3">
    <tabColor indexed="57"/>
    <pageSetUpPr autoPageBreaks="0"/>
  </sheetPr>
  <dimension ref="A1:M80"/>
  <sheetViews>
    <sheetView showGridLines="0" showRowColHeaders="0" topLeftCell="A13" zoomScale="85" zoomScaleNormal="85" zoomScaleSheetLayoutView="85" workbookViewId="0">
      <selection activeCell="Q12" sqref="Q12"/>
    </sheetView>
  </sheetViews>
  <sheetFormatPr baseColWidth="10" defaultColWidth="11.44140625" defaultRowHeight="13.2"/>
  <cols>
    <col min="1" max="1" width="4.109375" style="4" customWidth="1"/>
    <col min="2" max="7" width="11.44140625" style="4" customWidth="1"/>
    <col min="8" max="8" width="6.44140625" style="4" customWidth="1"/>
    <col min="9" max="9" width="11.44140625" style="4" customWidth="1"/>
    <col min="10" max="10" width="5" style="4" customWidth="1"/>
    <col min="11" max="11" width="14.33203125" style="4" customWidth="1"/>
    <col min="12" max="16384" width="11.44140625" style="4"/>
  </cols>
  <sheetData>
    <row r="1" spans="1:12" ht="13.8">
      <c r="A1" s="1"/>
      <c r="B1" s="2"/>
      <c r="C1" s="1"/>
      <c r="D1" s="1"/>
      <c r="E1" s="1"/>
      <c r="F1" s="1"/>
      <c r="G1" s="1"/>
      <c r="H1" s="3"/>
      <c r="I1" s="1"/>
      <c r="J1" s="1"/>
      <c r="K1" s="1"/>
    </row>
    <row r="2" spans="1:12" ht="252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ht="27" customHeight="1">
      <c r="A3" s="6"/>
      <c r="B3" s="7"/>
      <c r="C3" s="6"/>
      <c r="D3" s="6"/>
      <c r="E3" s="6"/>
      <c r="F3" s="226" t="s">
        <v>180</v>
      </c>
      <c r="G3" s="226"/>
      <c r="H3" s="226"/>
      <c r="I3" s="226"/>
      <c r="J3" s="226"/>
      <c r="K3" s="226"/>
      <c r="L3" s="226"/>
    </row>
    <row r="4" spans="1:12" ht="26.25" customHeight="1">
      <c r="A4" s="6"/>
      <c r="B4" s="8"/>
      <c r="C4" s="6"/>
      <c r="D4" s="6"/>
      <c r="E4" s="6"/>
      <c r="F4" s="226"/>
      <c r="G4" s="226"/>
      <c r="H4" s="226"/>
      <c r="I4" s="226"/>
      <c r="J4" s="226"/>
      <c r="K4" s="226"/>
      <c r="L4" s="226"/>
    </row>
    <row r="6" spans="1:12" ht="79.5" customHeight="1">
      <c r="B6" s="9"/>
      <c r="C6" s="9"/>
      <c r="D6" s="9"/>
      <c r="E6" s="9"/>
      <c r="F6" s="9"/>
      <c r="G6" s="9"/>
    </row>
    <row r="7" spans="1:12" s="10" customFormat="1" ht="32.25" customHeight="1"/>
    <row r="8" spans="1:12" s="11" customFormat="1" ht="84" customHeight="1">
      <c r="A8" s="227"/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</row>
    <row r="9" spans="1:12" ht="13.8">
      <c r="B9" s="12"/>
      <c r="C9" s="9"/>
      <c r="D9" s="9"/>
      <c r="E9" s="9"/>
      <c r="F9" s="9"/>
      <c r="G9" s="9"/>
    </row>
    <row r="10" spans="1:12" ht="13.8">
      <c r="B10" s="12"/>
      <c r="C10" s="9"/>
      <c r="D10" s="9"/>
      <c r="E10" s="9"/>
      <c r="F10" s="9"/>
      <c r="G10" s="9"/>
    </row>
    <row r="11" spans="1:12" ht="13.8">
      <c r="B11" s="12"/>
      <c r="C11" s="9"/>
      <c r="D11" s="9"/>
      <c r="E11" s="9"/>
      <c r="F11" s="9"/>
      <c r="G11" s="9"/>
    </row>
    <row r="12" spans="1:12" ht="13.8">
      <c r="B12" s="12"/>
      <c r="C12" s="9"/>
      <c r="D12" s="9"/>
      <c r="E12" s="9"/>
      <c r="F12" s="9"/>
      <c r="G12" s="9"/>
    </row>
    <row r="13" spans="1:12" ht="363" customHeight="1">
      <c r="B13" s="13" t="s">
        <v>0</v>
      </c>
      <c r="D13" s="9"/>
      <c r="E13" s="9"/>
      <c r="F13" s="9"/>
      <c r="G13" s="14"/>
    </row>
    <row r="14" spans="1:12" ht="20.100000000000001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6"/>
      <c r="L15" s="15"/>
    </row>
    <row r="16" spans="1:12" s="10" customFormat="1" ht="39" customHeight="1"/>
    <row r="17" spans="1:13" s="11" customFormat="1" ht="90" customHeight="1">
      <c r="A17" s="17"/>
    </row>
    <row r="18" spans="1:13" ht="18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3" ht="17.25" customHeight="1">
      <c r="B19" s="222" t="s">
        <v>1</v>
      </c>
      <c r="C19" s="222"/>
      <c r="D19" s="222"/>
      <c r="E19" s="19"/>
      <c r="F19" s="19" t="s">
        <v>2</v>
      </c>
      <c r="G19" s="19"/>
      <c r="H19" s="19"/>
      <c r="I19" s="19"/>
      <c r="J19" s="19"/>
      <c r="K19" s="19"/>
      <c r="L19" s="19"/>
    </row>
    <row r="20" spans="1:13" ht="13.8">
      <c r="B20" s="228"/>
      <c r="C20" s="228"/>
      <c r="D20" s="228"/>
      <c r="E20" s="19"/>
      <c r="F20" s="19" t="s">
        <v>3</v>
      </c>
      <c r="G20" s="19"/>
      <c r="H20" s="19"/>
      <c r="I20" s="19"/>
      <c r="J20" s="19"/>
      <c r="K20" s="19"/>
      <c r="L20" s="19"/>
    </row>
    <row r="21" spans="1:13" ht="18" customHeight="1">
      <c r="B21" s="223"/>
      <c r="C21" s="223"/>
      <c r="D21" s="223"/>
      <c r="E21" s="20"/>
      <c r="F21" s="20" t="s">
        <v>4</v>
      </c>
      <c r="G21" s="20"/>
      <c r="H21" s="20"/>
      <c r="I21" s="20"/>
      <c r="J21" s="20"/>
      <c r="K21" s="20"/>
      <c r="L21" s="20"/>
    </row>
    <row r="22" spans="1:13" ht="18.75" customHeight="1">
      <c r="B22" s="222" t="s">
        <v>5</v>
      </c>
      <c r="C22" s="222"/>
      <c r="D22" s="222"/>
      <c r="E22" s="19"/>
      <c r="F22" s="19" t="s">
        <v>6</v>
      </c>
      <c r="G22" s="19"/>
      <c r="H22" s="19"/>
      <c r="I22" s="19"/>
      <c r="J22" s="19"/>
      <c r="K22" s="19"/>
      <c r="L22" s="19"/>
    </row>
    <row r="23" spans="1:13" ht="15">
      <c r="B23" s="228"/>
      <c r="C23" s="228"/>
      <c r="D23" s="228"/>
      <c r="E23" s="19"/>
      <c r="F23" s="19" t="s">
        <v>7</v>
      </c>
      <c r="G23" s="19"/>
      <c r="H23" s="19"/>
      <c r="I23" s="19"/>
      <c r="J23" s="19"/>
      <c r="K23" s="19"/>
      <c r="L23" s="19"/>
    </row>
    <row r="24" spans="1:13" ht="19.5" customHeight="1">
      <c r="B24" s="223"/>
      <c r="C24" s="223"/>
      <c r="D24" s="223"/>
      <c r="E24" s="20"/>
      <c r="F24" s="20" t="s">
        <v>8</v>
      </c>
      <c r="G24" s="20"/>
      <c r="H24" s="20"/>
      <c r="I24" s="20"/>
      <c r="J24" s="20"/>
      <c r="K24" s="20"/>
      <c r="L24" s="20"/>
    </row>
    <row r="25" spans="1:13" ht="21" customHeight="1">
      <c r="B25" s="222" t="s">
        <v>9</v>
      </c>
      <c r="C25" s="222"/>
      <c r="D25" s="222"/>
      <c r="E25" s="19"/>
      <c r="F25" s="19" t="s">
        <v>10</v>
      </c>
      <c r="G25" s="19"/>
      <c r="H25" s="19"/>
      <c r="I25" s="19"/>
      <c r="J25" s="19"/>
      <c r="K25" s="19"/>
      <c r="L25" s="19"/>
    </row>
    <row r="26" spans="1:13" ht="13.5" customHeight="1">
      <c r="B26" s="223"/>
      <c r="C26" s="223"/>
      <c r="D26" s="223"/>
      <c r="E26" s="20"/>
      <c r="F26" s="20" t="s">
        <v>11</v>
      </c>
      <c r="G26" s="20"/>
      <c r="H26" s="20"/>
      <c r="I26" s="20"/>
      <c r="J26" s="20"/>
      <c r="K26" s="20"/>
      <c r="L26" s="20"/>
    </row>
    <row r="27" spans="1:13" ht="13.8">
      <c r="B27" s="222" t="s">
        <v>12</v>
      </c>
      <c r="C27" s="222"/>
      <c r="D27" s="222"/>
      <c r="E27" s="19"/>
      <c r="F27" s="224" t="s">
        <v>13</v>
      </c>
      <c r="G27" s="224"/>
      <c r="H27" s="224"/>
      <c r="I27" s="224"/>
      <c r="J27" s="224"/>
      <c r="K27" s="224"/>
      <c r="L27" s="224"/>
    </row>
    <row r="28" spans="1:13" ht="23.25" customHeight="1">
      <c r="B28" s="223"/>
      <c r="C28" s="223"/>
      <c r="D28" s="223"/>
      <c r="E28" s="20"/>
      <c r="F28" s="225"/>
      <c r="G28" s="225"/>
      <c r="H28" s="225"/>
      <c r="I28" s="225"/>
      <c r="J28" s="225"/>
      <c r="K28" s="225"/>
      <c r="L28" s="225"/>
    </row>
    <row r="29" spans="1:13" ht="13.8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3" ht="13.8">
      <c r="A30" s="21"/>
      <c r="B30" s="22" t="s">
        <v>14</v>
      </c>
      <c r="C30" s="23"/>
      <c r="D30" s="24"/>
      <c r="E30" s="24"/>
      <c r="F30" s="24"/>
      <c r="G30" s="24"/>
      <c r="H30" s="24"/>
      <c r="I30" s="24"/>
      <c r="J30" s="25"/>
      <c r="K30" s="25"/>
      <c r="L30" s="25"/>
      <c r="M30" s="26"/>
    </row>
    <row r="31" spans="1:13" ht="20.25" customHeight="1">
      <c r="A31" s="21"/>
      <c r="B31" s="22" t="s">
        <v>15</v>
      </c>
      <c r="C31" s="23"/>
      <c r="D31" s="24"/>
      <c r="E31" s="24"/>
      <c r="F31" s="24"/>
      <c r="G31" s="24"/>
      <c r="H31" s="24"/>
      <c r="I31" s="24"/>
      <c r="J31" s="25"/>
      <c r="K31" s="25"/>
      <c r="L31" s="25"/>
      <c r="M31" s="26"/>
    </row>
    <row r="32" spans="1:13" ht="10.5" customHeight="1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2:12" ht="8.25" hidden="1" customHeight="1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2:12" ht="13.8" hidden="1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2:12" ht="13.8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2:12" ht="13.8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2:12" ht="13.8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2:12" ht="13.8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2:12" ht="13.8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2:12" ht="13.8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2:12" ht="13.8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2:12" ht="13.8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2:12" ht="13.8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2:12" ht="13.8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2:12" ht="13.8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spans="2:12" ht="13.8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2:12" ht="13.8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2:12" ht="13.8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spans="2:12" ht="13.8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2:12" ht="13.8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spans="2:12" ht="13.8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spans="2:12" ht="13.8"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2:12" ht="13.8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spans="2:12" ht="13.8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 spans="2:12" ht="13.8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spans="2:12" ht="13.8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spans="2:12" ht="13.8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 spans="2:12" ht="13.8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 spans="2:12" ht="13.8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 spans="2:12" ht="13.8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spans="2:12" ht="13.8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spans="2:12" ht="13.8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 spans="2:12" ht="13.8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  <row r="64" spans="2:12" ht="13.8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spans="1:12" ht="13.8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spans="1:12" ht="13.8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ht="13.8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</row>
    <row r="68" spans="1:12" ht="13.8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 spans="1:12" ht="13.8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 spans="1:12" ht="13.8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 spans="1:12" ht="18">
      <c r="B71" s="21"/>
      <c r="C71" s="21"/>
      <c r="D71" s="21"/>
      <c r="E71" s="27"/>
      <c r="F71" s="27"/>
      <c r="G71" s="21"/>
      <c r="H71" s="21"/>
      <c r="I71" s="21"/>
      <c r="J71" s="21"/>
      <c r="K71" s="21"/>
      <c r="L71" s="21"/>
    </row>
    <row r="72" spans="1:12" ht="13.8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 spans="1:12" ht="13.8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 spans="1:12" ht="13.8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 spans="1:12" ht="13.8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 spans="1:12" ht="13.8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 spans="1:12" ht="13.8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ht="13.8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 spans="1:12" ht="15.75" customHeight="1">
      <c r="A79" s="6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</row>
    <row r="80" spans="1:12" ht="21.75" customHeight="1">
      <c r="A80" s="15"/>
      <c r="B80" s="29"/>
      <c r="C80" s="29"/>
      <c r="D80" s="29"/>
      <c r="E80" s="29"/>
      <c r="F80" s="29"/>
      <c r="G80" s="29"/>
      <c r="H80" s="29"/>
      <c r="I80" s="29"/>
      <c r="J80" s="29"/>
      <c r="K80" s="30"/>
      <c r="L80" s="29"/>
    </row>
  </sheetData>
  <sheetProtection algorithmName="SHA-512" hashValue="swi4vPkWYUbKtQ7Ur4XliVdcjb5YU6nlRX5tIVNMW2N7pmPnbgbjRE5ZCZpMsaT6PjwG36PX98F6AtyvF8f2iA==" saltValue="4BFBXx1keZiFV9xJlWNVeg==" spinCount="100000" sheet="1" objects="1" scenarios="1"/>
  <mergeCells count="7">
    <mergeCell ref="B27:D28"/>
    <mergeCell ref="F27:L28"/>
    <mergeCell ref="F3:L4"/>
    <mergeCell ref="A8:L8"/>
    <mergeCell ref="B19:D21"/>
    <mergeCell ref="B22:D24"/>
    <mergeCell ref="B25:D26"/>
  </mergeCells>
  <printOptions horizontalCentered="1"/>
  <pageMargins left="0.19685039370078741" right="0.19685039370078741" top="0.59055118110236227" bottom="0.19685039370078741" header="0" footer="0.19685039370078741"/>
  <pageSetup paperSize="9" scale="82" orientation="portrait" r:id="rId1"/>
  <headerFooter alignWithMargins="0">
    <oddFooter>&amp;CPágina &amp;P de &amp;N</oddFooter>
  </headerFooter>
  <rowBreaks count="1" manualBreakCount="1">
    <brk id="1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25C9-A09A-45E0-A8E7-25BF36AAE335}">
  <sheetPr codeName="Sheet64">
    <tabColor indexed="57"/>
  </sheetPr>
  <dimension ref="A1:AJ90"/>
  <sheetViews>
    <sheetView showGridLines="0" showRowColHeaders="0" tabSelected="1" zoomScale="85" zoomScaleNormal="85" zoomScaleSheetLayoutView="85" workbookViewId="0">
      <selection activeCell="L20" sqref="L20"/>
    </sheetView>
  </sheetViews>
  <sheetFormatPr baseColWidth="10" defaultColWidth="0" defaultRowHeight="13.8"/>
  <cols>
    <col min="1" max="1" width="2.88671875" style="21" customWidth="1"/>
    <col min="2" max="2" width="24.5546875" style="21" customWidth="1"/>
    <col min="3" max="3" width="13" style="21" customWidth="1"/>
    <col min="4" max="4" width="12.6640625" style="21" customWidth="1"/>
    <col min="5" max="5" width="13.44140625" style="21" customWidth="1"/>
    <col min="6" max="6" width="11" style="21" customWidth="1"/>
    <col min="7" max="7" width="13" style="21" customWidth="1"/>
    <col min="8" max="8" width="12.44140625" style="21" customWidth="1"/>
    <col min="9" max="9" width="15.33203125" style="21" customWidth="1"/>
    <col min="10" max="10" width="10.5546875" style="21" customWidth="1"/>
    <col min="11" max="14" width="12.33203125" style="21" customWidth="1"/>
    <col min="15" max="15" width="2.6640625" style="21" customWidth="1"/>
    <col min="16" max="16" width="11.44140625" style="21" customWidth="1"/>
    <col min="17" max="17" width="8.44140625" style="21" customWidth="1"/>
    <col min="18" max="18" width="7.88671875" style="21" customWidth="1"/>
    <col min="19" max="19" width="27.109375" style="21" customWidth="1"/>
    <col min="20" max="20" width="24.33203125" style="21" customWidth="1"/>
    <col min="21" max="21" width="49.109375" style="21" customWidth="1"/>
    <col min="22" max="22" width="16.6640625" style="21" customWidth="1"/>
    <col min="23" max="23" width="13" style="21" customWidth="1"/>
    <col min="24" max="24" width="14" style="21" customWidth="1"/>
    <col min="25" max="28" width="5" style="21" customWidth="1"/>
    <col min="29" max="31" width="5" style="21" hidden="1" customWidth="1"/>
    <col min="32" max="32" width="16.44140625" style="21" hidden="1" customWidth="1"/>
    <col min="33" max="33" width="12" style="21" hidden="1" customWidth="1"/>
    <col min="34" max="34" width="11.88671875" style="21" hidden="1" customWidth="1"/>
    <col min="35" max="35" width="20.33203125" style="21" hidden="1" customWidth="1"/>
    <col min="36" max="36" width="10.109375" style="21" hidden="1" customWidth="1"/>
    <col min="37" max="16384" width="37.6640625" style="21" hidden="1"/>
  </cols>
  <sheetData>
    <row r="1" spans="2:28" ht="6.75" customHeight="1"/>
    <row r="2" spans="2:28" ht="6.75" customHeight="1"/>
    <row r="3" spans="2:28" ht="28.5" customHeight="1">
      <c r="B3" s="31" t="s">
        <v>16</v>
      </c>
      <c r="C3" s="32"/>
      <c r="D3" s="32"/>
      <c r="E3" s="33"/>
      <c r="F3" s="34"/>
      <c r="G3" s="34"/>
      <c r="H3" s="34"/>
      <c r="I3" s="34"/>
      <c r="J3" s="34"/>
      <c r="K3" s="35"/>
      <c r="L3" s="35"/>
      <c r="M3" s="35"/>
      <c r="N3" s="35"/>
      <c r="O3" s="35"/>
      <c r="P3" s="36" t="s">
        <v>16</v>
      </c>
      <c r="Q3" s="34"/>
      <c r="R3" s="34"/>
      <c r="S3" s="34"/>
      <c r="T3" s="34"/>
      <c r="U3" s="34"/>
      <c r="V3" s="34"/>
      <c r="W3" s="34"/>
      <c r="X3" s="35"/>
      <c r="Y3" s="35"/>
      <c r="Z3" s="37"/>
      <c r="AA3" s="37"/>
      <c r="AB3" s="37"/>
    </row>
    <row r="4" spans="2:28" ht="24.75" customHeight="1">
      <c r="B4" s="33" t="s">
        <v>17</v>
      </c>
      <c r="C4" s="34"/>
      <c r="D4" s="34"/>
      <c r="E4" s="34"/>
      <c r="F4" s="34"/>
      <c r="G4" s="34"/>
      <c r="H4" s="38"/>
      <c r="I4" s="39"/>
      <c r="J4" s="39"/>
      <c r="K4" s="40"/>
      <c r="L4" s="40"/>
      <c r="M4" s="40"/>
      <c r="N4" s="40"/>
      <c r="O4" s="40"/>
      <c r="P4" s="33" t="s">
        <v>17</v>
      </c>
      <c r="Q4" s="34"/>
      <c r="R4" s="34"/>
      <c r="S4" s="34"/>
      <c r="T4" s="34"/>
      <c r="U4" s="38"/>
      <c r="V4" s="39"/>
      <c r="W4" s="39"/>
      <c r="X4" s="40"/>
      <c r="Y4" s="40"/>
      <c r="Z4" s="41"/>
      <c r="AA4" s="41"/>
      <c r="AB4" s="41"/>
    </row>
    <row r="5" spans="2:28" s="42" customFormat="1" ht="29.25" customHeight="1">
      <c r="B5" s="43"/>
      <c r="C5" s="44"/>
      <c r="D5" s="44"/>
      <c r="E5" s="45"/>
      <c r="F5" s="44"/>
      <c r="G5" s="44"/>
      <c r="H5" s="46"/>
      <c r="I5" s="44"/>
      <c r="J5" s="44"/>
      <c r="K5" s="45"/>
      <c r="L5" s="45"/>
      <c r="M5" s="45"/>
      <c r="N5" s="45"/>
      <c r="O5" s="45"/>
      <c r="P5" s="47"/>
      <c r="Q5" s="45"/>
      <c r="R5" s="45"/>
      <c r="S5" s="45"/>
      <c r="T5" s="45"/>
      <c r="U5" s="45"/>
      <c r="V5" s="45"/>
      <c r="W5" s="45"/>
      <c r="X5" s="45"/>
      <c r="Y5" s="45"/>
      <c r="Z5" s="48"/>
      <c r="AA5" s="48"/>
      <c r="AB5" s="48"/>
    </row>
    <row r="6" spans="2:28" ht="18.600000000000001" thickBot="1">
      <c r="B6" s="49" t="s">
        <v>18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T6" s="21" t="s">
        <v>19</v>
      </c>
    </row>
    <row r="7" spans="2:28" ht="18">
      <c r="B7" s="50"/>
      <c r="C7" s="51"/>
      <c r="D7" s="51"/>
      <c r="E7" s="51"/>
      <c r="F7" s="51"/>
      <c r="G7" s="51"/>
      <c r="H7" s="52"/>
      <c r="I7" s="52"/>
      <c r="J7" s="52"/>
      <c r="K7" s="52"/>
      <c r="L7" s="52"/>
      <c r="M7" s="52"/>
      <c r="N7" s="52"/>
      <c r="O7" s="52"/>
    </row>
    <row r="8" spans="2:28" s="13" customFormat="1" ht="14.4">
      <c r="B8" s="53" t="s">
        <v>20</v>
      </c>
      <c r="C8" s="54" t="s">
        <v>180</v>
      </c>
      <c r="D8" s="55"/>
      <c r="E8" s="55"/>
      <c r="F8" s="56"/>
      <c r="G8" s="57"/>
      <c r="H8" s="57"/>
      <c r="I8" s="21"/>
    </row>
    <row r="9" spans="2:28" s="13" customFormat="1" ht="31.5" customHeight="1">
      <c r="B9" s="53" t="s">
        <v>21</v>
      </c>
      <c r="C9" s="58" t="s">
        <v>232</v>
      </c>
      <c r="D9" s="56"/>
      <c r="E9" s="56"/>
      <c r="F9" s="56"/>
      <c r="H9" s="59"/>
    </row>
    <row r="10" spans="2:28" s="13" customFormat="1" ht="14.4">
      <c r="G10" s="229"/>
      <c r="H10" s="230"/>
      <c r="I10" s="230"/>
    </row>
    <row r="11" spans="2:28" s="13" customFormat="1" ht="14.4">
      <c r="B11" s="53" t="s">
        <v>22</v>
      </c>
      <c r="C11" s="58"/>
      <c r="D11" s="55"/>
      <c r="E11" s="56"/>
      <c r="F11" s="56"/>
      <c r="G11" s="60"/>
      <c r="H11" s="61"/>
      <c r="I11" s="61"/>
    </row>
    <row r="12" spans="2:28" ht="12" customHeight="1">
      <c r="B12" s="62"/>
      <c r="C12" s="62"/>
      <c r="D12" s="62"/>
      <c r="E12" s="62"/>
      <c r="F12" s="62"/>
      <c r="G12" s="231"/>
      <c r="H12" s="232"/>
      <c r="I12" s="232"/>
    </row>
    <row r="13" spans="2:28" ht="18.600000000000001" thickBot="1">
      <c r="B13" s="49" t="s">
        <v>23</v>
      </c>
      <c r="C13" s="49"/>
      <c r="D13" s="49" t="s">
        <v>179</v>
      </c>
      <c r="E13" s="49"/>
      <c r="F13" s="49"/>
      <c r="G13" s="49" t="s">
        <v>24</v>
      </c>
      <c r="H13" s="49"/>
      <c r="I13" s="49"/>
      <c r="J13" s="49"/>
      <c r="K13" s="49"/>
      <c r="L13" s="49"/>
      <c r="M13" s="49"/>
      <c r="N13" s="49"/>
      <c r="O13" s="49"/>
      <c r="P13" s="49" t="s">
        <v>25</v>
      </c>
      <c r="Q13" s="49"/>
      <c r="R13" s="49"/>
      <c r="S13" s="49"/>
      <c r="T13" s="63" t="str">
        <f>D13</f>
        <v>Sevilla</v>
      </c>
      <c r="U13" s="49" t="s">
        <v>24</v>
      </c>
      <c r="V13" s="49"/>
      <c r="W13" s="49"/>
      <c r="X13" s="49"/>
      <c r="Y13" s="49"/>
      <c r="Z13" s="49"/>
      <c r="AA13" s="49"/>
      <c r="AB13" s="49"/>
    </row>
    <row r="14" spans="2:28" ht="20.25" customHeight="1">
      <c r="K14" s="64"/>
    </row>
    <row r="15" spans="2:28" ht="21">
      <c r="B15" s="65" t="s">
        <v>26</v>
      </c>
      <c r="C15" s="65"/>
      <c r="D15" s="65"/>
      <c r="E15" s="65"/>
      <c r="F15" s="65"/>
      <c r="G15" s="65"/>
      <c r="H15" s="65"/>
      <c r="I15" s="65"/>
      <c r="J15" s="65"/>
    </row>
    <row r="16" spans="2:28" ht="15.6">
      <c r="B16" s="66"/>
      <c r="C16" s="67"/>
    </row>
    <row r="17" spans="2:36" ht="31.5" customHeight="1" thickBot="1">
      <c r="B17" s="68" t="s">
        <v>27</v>
      </c>
      <c r="C17" s="69" t="s">
        <v>28</v>
      </c>
      <c r="D17" s="69" t="s">
        <v>29</v>
      </c>
      <c r="E17" s="69" t="s">
        <v>30</v>
      </c>
      <c r="F17" s="69" t="s">
        <v>31</v>
      </c>
      <c r="G17" s="69" t="s">
        <v>32</v>
      </c>
      <c r="H17" s="69" t="s">
        <v>33</v>
      </c>
      <c r="I17" s="69" t="s">
        <v>34</v>
      </c>
      <c r="J17" s="69" t="s">
        <v>35</v>
      </c>
    </row>
    <row r="18" spans="2:36" ht="14.4">
      <c r="B18" s="70" t="s">
        <v>36</v>
      </c>
      <c r="C18" s="71">
        <v>0</v>
      </c>
      <c r="D18" s="72">
        <v>0</v>
      </c>
      <c r="E18" s="72">
        <v>0</v>
      </c>
      <c r="F18" s="72">
        <v>0</v>
      </c>
      <c r="G18" s="73">
        <v>0</v>
      </c>
      <c r="H18" s="74">
        <v>250</v>
      </c>
      <c r="I18" s="71">
        <v>0</v>
      </c>
      <c r="J18" s="75">
        <v>0</v>
      </c>
      <c r="K18" s="76"/>
      <c r="U18" s="21" t="s">
        <v>37</v>
      </c>
    </row>
    <row r="19" spans="2:36" ht="14.4">
      <c r="B19" s="77" t="s">
        <v>38</v>
      </c>
      <c r="C19" s="78">
        <v>0</v>
      </c>
      <c r="D19" s="79">
        <v>0</v>
      </c>
      <c r="E19" s="79">
        <v>0</v>
      </c>
      <c r="F19" s="79">
        <v>0</v>
      </c>
      <c r="G19" s="80">
        <v>0</v>
      </c>
      <c r="H19" s="81">
        <v>250</v>
      </c>
      <c r="I19" s="78">
        <v>0</v>
      </c>
      <c r="J19" s="82">
        <v>0</v>
      </c>
      <c r="K19" s="83"/>
      <c r="L19" s="83"/>
      <c r="M19" s="83"/>
      <c r="N19" s="83"/>
      <c r="O19" s="83"/>
    </row>
    <row r="20" spans="2:36" s="42" customFormat="1" ht="14.4">
      <c r="B20" s="77" t="s">
        <v>39</v>
      </c>
      <c r="C20" s="78">
        <v>0</v>
      </c>
      <c r="D20" s="79">
        <v>0</v>
      </c>
      <c r="E20" s="79">
        <v>0</v>
      </c>
      <c r="F20" s="79">
        <v>0</v>
      </c>
      <c r="G20" s="80">
        <v>0</v>
      </c>
      <c r="H20" s="81">
        <v>250</v>
      </c>
      <c r="I20" s="78">
        <v>0</v>
      </c>
      <c r="J20" s="82">
        <v>0</v>
      </c>
      <c r="K20" s="84"/>
      <c r="L20" s="84"/>
      <c r="M20" s="84"/>
      <c r="N20" s="84"/>
      <c r="O20" s="84"/>
    </row>
    <row r="21" spans="2:36" ht="15" thickBot="1">
      <c r="B21" s="85" t="s">
        <v>40</v>
      </c>
      <c r="C21" s="86">
        <v>0</v>
      </c>
      <c r="D21" s="87">
        <v>0</v>
      </c>
      <c r="E21" s="87">
        <v>0</v>
      </c>
      <c r="F21" s="87">
        <v>0</v>
      </c>
      <c r="G21" s="88">
        <v>0</v>
      </c>
      <c r="H21" s="89">
        <v>250</v>
      </c>
      <c r="I21" s="86">
        <v>0</v>
      </c>
      <c r="J21" s="90">
        <v>0</v>
      </c>
      <c r="K21" s="91"/>
      <c r="L21" s="91"/>
      <c r="M21" s="91"/>
      <c r="N21" s="91"/>
      <c r="O21" s="91"/>
    </row>
    <row r="22" spans="2:36" ht="14.4" thickBot="1">
      <c r="B22" s="92"/>
      <c r="C22" s="92"/>
      <c r="D22" s="92"/>
      <c r="E22" s="92"/>
      <c r="F22" s="93"/>
      <c r="G22" s="94" t="str">
        <f>IF(SUM(G18:G21)&lt;&gt;1,"no suma 100%",SUM(G18:G21))</f>
        <v>no suma 100%</v>
      </c>
      <c r="H22" s="95">
        <f>CEILING(SUM(J18:J21),1)</f>
        <v>0</v>
      </c>
      <c r="I22" s="19" t="s">
        <v>41</v>
      </c>
      <c r="K22" s="91"/>
      <c r="L22" s="91"/>
      <c r="M22" s="91"/>
      <c r="N22" s="91"/>
      <c r="O22" s="91"/>
    </row>
    <row r="23" spans="2:36">
      <c r="K23" s="91"/>
      <c r="L23" s="91"/>
      <c r="M23" s="91"/>
      <c r="N23" s="91"/>
      <c r="O23" s="91"/>
      <c r="V23" s="96"/>
      <c r="W23" s="96"/>
      <c r="X23" s="96"/>
    </row>
    <row r="24" spans="2:36" ht="21">
      <c r="B24" s="97" t="s">
        <v>42</v>
      </c>
      <c r="C24" s="97"/>
      <c r="D24" s="97"/>
      <c r="E24" s="97"/>
      <c r="F24" s="97"/>
      <c r="G24" s="97"/>
      <c r="H24" s="97"/>
      <c r="I24" s="97"/>
      <c r="J24" s="97"/>
      <c r="K24" s="91"/>
      <c r="L24" s="91"/>
      <c r="M24" s="91"/>
      <c r="N24" s="91"/>
      <c r="O24" s="91"/>
      <c r="V24" s="76"/>
      <c r="W24" s="98">
        <v>6</v>
      </c>
      <c r="X24" s="98">
        <v>13</v>
      </c>
      <c r="Y24" s="76"/>
      <c r="Z24" s="76"/>
    </row>
    <row r="25" spans="2:36" ht="14.4">
      <c r="B25" s="99"/>
      <c r="C25" s="91"/>
      <c r="D25" s="91"/>
      <c r="E25" s="91"/>
      <c r="F25" s="91"/>
      <c r="G25" s="91"/>
      <c r="H25" s="91"/>
      <c r="I25" s="100"/>
      <c r="J25" s="91"/>
      <c r="K25" s="91"/>
      <c r="L25" s="91"/>
      <c r="M25" s="91"/>
      <c r="N25" s="91"/>
      <c r="V25" s="101"/>
      <c r="W25" s="102" t="s">
        <v>43</v>
      </c>
      <c r="X25" s="102"/>
      <c r="Z25" s="103"/>
      <c r="AA25" s="84"/>
      <c r="AF25" s="104" t="s">
        <v>44</v>
      </c>
      <c r="AG25" s="104" t="s">
        <v>45</v>
      </c>
      <c r="AH25" s="104" t="s">
        <v>46</v>
      </c>
    </row>
    <row r="26" spans="2:36" s="42" customFormat="1" ht="23.25" customHeight="1">
      <c r="B26" s="105" t="s">
        <v>47</v>
      </c>
      <c r="C26" s="105" t="s">
        <v>48</v>
      </c>
      <c r="D26" s="105" t="s">
        <v>94</v>
      </c>
      <c r="E26" s="105" t="s">
        <v>95</v>
      </c>
      <c r="F26" s="105" t="s">
        <v>96</v>
      </c>
      <c r="G26" s="105" t="s">
        <v>97</v>
      </c>
      <c r="H26" s="105" t="s">
        <v>98</v>
      </c>
      <c r="I26" s="105" t="s">
        <v>99</v>
      </c>
      <c r="J26" s="105" t="s">
        <v>100</v>
      </c>
      <c r="K26" s="105" t="s">
        <v>101</v>
      </c>
      <c r="L26" s="105" t="s">
        <v>102</v>
      </c>
      <c r="M26" s="105" t="s">
        <v>103</v>
      </c>
      <c r="N26" s="105"/>
      <c r="P26" s="105" t="s">
        <v>94</v>
      </c>
      <c r="Q26" s="105" t="s">
        <v>100</v>
      </c>
      <c r="V26" s="106" t="s">
        <v>49</v>
      </c>
      <c r="W26" s="106" t="s">
        <v>50</v>
      </c>
      <c r="X26" s="106" t="s">
        <v>51</v>
      </c>
      <c r="Z26" s="107"/>
      <c r="AA26" s="84"/>
      <c r="AF26" s="108">
        <v>0.08</v>
      </c>
      <c r="AG26" s="109">
        <v>15</v>
      </c>
      <c r="AH26" s="110">
        <v>1650</v>
      </c>
      <c r="AI26" s="111"/>
      <c r="AJ26" s="111"/>
    </row>
    <row r="27" spans="2:36" ht="15.6">
      <c r="B27" s="112">
        <v>1</v>
      </c>
      <c r="C27" s="112">
        <f>+B27</f>
        <v>1</v>
      </c>
      <c r="D27" s="113">
        <v>7.35</v>
      </c>
      <c r="E27" s="113">
        <v>8.9</v>
      </c>
      <c r="F27" s="113">
        <v>9.49</v>
      </c>
      <c r="G27" s="113">
        <v>9.66</v>
      </c>
      <c r="H27" s="113">
        <v>13.88</v>
      </c>
      <c r="I27" s="114">
        <v>14.3</v>
      </c>
      <c r="J27" s="113">
        <v>14.5</v>
      </c>
      <c r="K27" s="113">
        <v>14.55</v>
      </c>
      <c r="L27" s="113">
        <v>16.25</v>
      </c>
      <c r="M27" s="113">
        <v>23.8</v>
      </c>
      <c r="N27" s="113"/>
      <c r="P27" s="221" t="s">
        <v>179</v>
      </c>
      <c r="Q27" s="221" t="s">
        <v>181</v>
      </c>
      <c r="V27" s="115">
        <v>5</v>
      </c>
      <c r="W27" s="116">
        <v>17.34</v>
      </c>
      <c r="X27" s="116">
        <v>31.83</v>
      </c>
      <c r="Z27" s="117"/>
      <c r="AE27" s="91"/>
      <c r="AF27" s="108">
        <v>7.0000000000000007E-2</v>
      </c>
      <c r="AG27" s="109">
        <v>13.5</v>
      </c>
      <c r="AH27" s="110">
        <v>1301</v>
      </c>
      <c r="AI27" s="118"/>
      <c r="AJ27" s="118"/>
    </row>
    <row r="28" spans="2:36" ht="14.4">
      <c r="B28" s="112">
        <v>2</v>
      </c>
      <c r="C28" s="112">
        <f t="shared" ref="C28:C35" si="0">+B28</f>
        <v>2</v>
      </c>
      <c r="D28" s="113">
        <v>8.82</v>
      </c>
      <c r="E28" s="113">
        <v>10.97</v>
      </c>
      <c r="F28" s="113">
        <v>12.29</v>
      </c>
      <c r="G28" s="113">
        <v>12.55</v>
      </c>
      <c r="H28" s="113">
        <v>17.989999999999998</v>
      </c>
      <c r="I28" s="114">
        <v>18.54</v>
      </c>
      <c r="J28" s="113">
        <v>18.77</v>
      </c>
      <c r="K28" s="113">
        <v>18.86</v>
      </c>
      <c r="L28" s="113">
        <v>21.06</v>
      </c>
      <c r="M28" s="113">
        <v>30.86</v>
      </c>
      <c r="N28" s="113"/>
      <c r="Q28" s="221" t="s">
        <v>182</v>
      </c>
      <c r="V28" s="112">
        <v>10</v>
      </c>
      <c r="W28" s="119">
        <v>18.45</v>
      </c>
      <c r="X28" s="119">
        <v>34.04</v>
      </c>
      <c r="Z28" s="117"/>
      <c r="AE28" s="91"/>
      <c r="AF28" s="120">
        <v>0.06</v>
      </c>
      <c r="AG28" s="121">
        <v>12</v>
      </c>
      <c r="AH28" s="122">
        <v>1102</v>
      </c>
      <c r="AI28" s="111"/>
      <c r="AJ28" s="111"/>
    </row>
    <row r="29" spans="2:36" ht="14.4">
      <c r="B29" s="112">
        <v>3</v>
      </c>
      <c r="C29" s="112">
        <f t="shared" si="0"/>
        <v>3</v>
      </c>
      <c r="D29" s="113">
        <v>11.83</v>
      </c>
      <c r="E29" s="113">
        <v>14.82</v>
      </c>
      <c r="F29" s="113">
        <v>16.95</v>
      </c>
      <c r="G29" s="113">
        <v>17.25</v>
      </c>
      <c r="H29" s="113">
        <v>24.77</v>
      </c>
      <c r="I29" s="114">
        <v>25.53</v>
      </c>
      <c r="J29" s="113">
        <v>25.87</v>
      </c>
      <c r="K29" s="113">
        <v>25.98</v>
      </c>
      <c r="L29" s="113">
        <v>28.96</v>
      </c>
      <c r="M29" s="113">
        <v>42.54</v>
      </c>
      <c r="N29" s="113"/>
      <c r="P29" s="105" t="s">
        <v>95</v>
      </c>
      <c r="Q29" s="221" t="s">
        <v>183</v>
      </c>
      <c r="V29" s="112">
        <v>20</v>
      </c>
      <c r="W29" s="119">
        <v>26.54</v>
      </c>
      <c r="X29" s="119">
        <v>48.89</v>
      </c>
      <c r="Z29" s="117"/>
      <c r="AE29" s="91"/>
      <c r="AF29" s="120">
        <v>0.05</v>
      </c>
      <c r="AG29" s="121">
        <v>10.5</v>
      </c>
      <c r="AH29" s="122">
        <v>901</v>
      </c>
      <c r="AI29" s="111"/>
      <c r="AJ29" s="111"/>
    </row>
    <row r="30" spans="2:36" ht="14.4">
      <c r="B30" s="112">
        <v>4</v>
      </c>
      <c r="C30" s="112">
        <f t="shared" si="0"/>
        <v>4</v>
      </c>
      <c r="D30" s="113">
        <v>13.23</v>
      </c>
      <c r="E30" s="113">
        <v>16.98</v>
      </c>
      <c r="F30" s="113">
        <v>19.149999999999999</v>
      </c>
      <c r="G30" s="113">
        <v>19.440000000000001</v>
      </c>
      <c r="H30" s="113">
        <v>27.91</v>
      </c>
      <c r="I30" s="114">
        <v>28.81</v>
      </c>
      <c r="J30" s="113">
        <v>29.14</v>
      </c>
      <c r="K30" s="113">
        <v>29.31</v>
      </c>
      <c r="L30" s="113">
        <v>32.64</v>
      </c>
      <c r="M30" s="113">
        <v>47.95</v>
      </c>
      <c r="N30" s="113"/>
      <c r="P30" s="221" t="s">
        <v>184</v>
      </c>
      <c r="Q30" s="221" t="s">
        <v>185</v>
      </c>
      <c r="V30" s="112">
        <v>30</v>
      </c>
      <c r="W30" s="119">
        <v>34.44</v>
      </c>
      <c r="X30" s="119">
        <v>63.4</v>
      </c>
      <c r="Z30" s="117"/>
      <c r="AE30" s="91"/>
      <c r="AF30" s="120">
        <v>0.04</v>
      </c>
      <c r="AG30" s="123">
        <v>9.25</v>
      </c>
      <c r="AH30" s="122">
        <v>707</v>
      </c>
      <c r="AI30" s="111"/>
      <c r="AJ30" s="111"/>
    </row>
    <row r="31" spans="2:36" ht="14.4">
      <c r="B31" s="112">
        <v>5</v>
      </c>
      <c r="C31" s="112">
        <f t="shared" si="0"/>
        <v>5</v>
      </c>
      <c r="D31" s="113">
        <v>16.149999999999999</v>
      </c>
      <c r="E31" s="113">
        <v>20.81</v>
      </c>
      <c r="F31" s="113">
        <v>23.48</v>
      </c>
      <c r="G31" s="113">
        <v>23.81</v>
      </c>
      <c r="H31" s="113">
        <v>34.24</v>
      </c>
      <c r="I31" s="114">
        <v>35.32</v>
      </c>
      <c r="J31" s="113">
        <v>35.76</v>
      </c>
      <c r="K31" s="113">
        <v>35.92</v>
      </c>
      <c r="L31" s="113">
        <v>40.090000000000003</v>
      </c>
      <c r="M31" s="113">
        <v>58.79</v>
      </c>
      <c r="N31" s="113"/>
      <c r="P31" s="221" t="s">
        <v>186</v>
      </c>
      <c r="Q31" s="221" t="s">
        <v>187</v>
      </c>
      <c r="V31" s="112">
        <v>40</v>
      </c>
      <c r="W31" s="119">
        <v>41.87</v>
      </c>
      <c r="X31" s="119">
        <v>77.08</v>
      </c>
      <c r="Z31" s="117"/>
      <c r="AE31" s="91"/>
      <c r="AF31" s="120">
        <v>0.03</v>
      </c>
      <c r="AG31" s="123">
        <v>8.25</v>
      </c>
      <c r="AH31" s="122">
        <v>551</v>
      </c>
      <c r="AI31" s="111"/>
      <c r="AJ31" s="111"/>
    </row>
    <row r="32" spans="2:36" ht="14.4">
      <c r="B32" s="112">
        <v>6</v>
      </c>
      <c r="C32" s="112">
        <f t="shared" si="0"/>
        <v>6</v>
      </c>
      <c r="D32" s="113">
        <v>17.71</v>
      </c>
      <c r="E32" s="113">
        <v>21.45</v>
      </c>
      <c r="F32" s="113">
        <v>25.54</v>
      </c>
      <c r="G32" s="113">
        <v>25.92</v>
      </c>
      <c r="H32" s="113">
        <v>37.26</v>
      </c>
      <c r="I32" s="114">
        <v>38.44</v>
      </c>
      <c r="J32" s="113">
        <v>38.909999999999997</v>
      </c>
      <c r="K32" s="113">
        <v>39.11</v>
      </c>
      <c r="L32" s="113">
        <v>43.62</v>
      </c>
      <c r="M32" s="113">
        <v>63.99</v>
      </c>
      <c r="N32" s="113"/>
      <c r="P32" s="221" t="s">
        <v>188</v>
      </c>
      <c r="Q32" s="221" t="s">
        <v>189</v>
      </c>
      <c r="V32" s="112">
        <v>50</v>
      </c>
      <c r="W32" s="119">
        <v>47.89</v>
      </c>
      <c r="X32" s="119">
        <v>88.17</v>
      </c>
      <c r="Z32" s="117"/>
      <c r="AE32" s="91"/>
      <c r="AF32" s="120">
        <v>0.02</v>
      </c>
      <c r="AG32" s="121">
        <v>7.25</v>
      </c>
      <c r="AH32" s="122">
        <v>363</v>
      </c>
      <c r="AI32" s="111"/>
      <c r="AJ32" s="111"/>
    </row>
    <row r="33" spans="2:36" ht="14.4">
      <c r="B33" s="112">
        <v>7</v>
      </c>
      <c r="C33" s="112">
        <f t="shared" si="0"/>
        <v>7</v>
      </c>
      <c r="D33" s="113">
        <v>21.65</v>
      </c>
      <c r="E33" s="113">
        <v>26.34</v>
      </c>
      <c r="F33" s="113">
        <v>31.62</v>
      </c>
      <c r="G33" s="113">
        <v>32.119999999999997</v>
      </c>
      <c r="H33" s="113">
        <v>46.11</v>
      </c>
      <c r="I33" s="114">
        <v>47.57</v>
      </c>
      <c r="J33" s="113">
        <v>48.19</v>
      </c>
      <c r="K33" s="113">
        <v>48.4</v>
      </c>
      <c r="L33" s="113">
        <v>54</v>
      </c>
      <c r="M33" s="113">
        <v>79.23</v>
      </c>
      <c r="N33" s="113"/>
      <c r="P33" s="221" t="s">
        <v>190</v>
      </c>
      <c r="Q33" s="221" t="s">
        <v>191</v>
      </c>
      <c r="V33" s="112">
        <v>60</v>
      </c>
      <c r="W33" s="119">
        <v>53.99</v>
      </c>
      <c r="X33" s="119">
        <v>99.47</v>
      </c>
      <c r="Z33" s="117"/>
      <c r="AE33" s="91"/>
      <c r="AF33" s="120">
        <v>0.01</v>
      </c>
      <c r="AG33" s="121">
        <v>6.78</v>
      </c>
      <c r="AH33" s="122">
        <v>197.13162118780093</v>
      </c>
      <c r="AI33" s="124"/>
      <c r="AJ33" s="111"/>
    </row>
    <row r="34" spans="2:36" ht="15" thickBot="1">
      <c r="B34" s="112">
        <v>9</v>
      </c>
      <c r="C34" s="112">
        <f t="shared" si="0"/>
        <v>9</v>
      </c>
      <c r="D34" s="113">
        <v>25.38</v>
      </c>
      <c r="E34" s="113">
        <v>30.74</v>
      </c>
      <c r="F34" s="113">
        <v>36.79</v>
      </c>
      <c r="G34" s="113">
        <v>37.4</v>
      </c>
      <c r="H34" s="113">
        <v>53.73</v>
      </c>
      <c r="I34" s="114">
        <v>55.4</v>
      </c>
      <c r="J34" s="113">
        <v>56.05</v>
      </c>
      <c r="K34" s="113">
        <v>56.36</v>
      </c>
      <c r="L34" s="113">
        <v>62.89</v>
      </c>
      <c r="M34" s="113">
        <v>92.22</v>
      </c>
      <c r="N34" s="113"/>
      <c r="P34" s="221" t="s">
        <v>192</v>
      </c>
      <c r="Q34" s="221" t="s">
        <v>193</v>
      </c>
      <c r="V34" s="112">
        <v>70</v>
      </c>
      <c r="W34" s="119">
        <v>60.09</v>
      </c>
      <c r="X34" s="119">
        <v>110.68</v>
      </c>
      <c r="Z34" s="117"/>
      <c r="AE34" s="91"/>
      <c r="AF34" s="125">
        <v>0</v>
      </c>
      <c r="AG34" s="126" t="s">
        <v>52</v>
      </c>
      <c r="AH34" s="127" t="s">
        <v>53</v>
      </c>
      <c r="AI34" s="111"/>
      <c r="AJ34" s="111"/>
    </row>
    <row r="35" spans="2:36" ht="14.4">
      <c r="B35" s="112">
        <v>11</v>
      </c>
      <c r="C35" s="112">
        <f t="shared" si="0"/>
        <v>11</v>
      </c>
      <c r="D35" s="113">
        <v>28.08</v>
      </c>
      <c r="E35" s="113">
        <v>34.049999999999997</v>
      </c>
      <c r="F35" s="113">
        <v>40.729999999999997</v>
      </c>
      <c r="G35" s="113">
        <v>41.37</v>
      </c>
      <c r="H35" s="113">
        <v>59.42</v>
      </c>
      <c r="I35" s="114">
        <v>61.31</v>
      </c>
      <c r="J35" s="113">
        <v>62.05</v>
      </c>
      <c r="K35" s="113">
        <v>62.36</v>
      </c>
      <c r="L35" s="113">
        <v>69.58</v>
      </c>
      <c r="M35" s="113">
        <v>102.03</v>
      </c>
      <c r="N35" s="113"/>
      <c r="P35" s="221" t="s">
        <v>194</v>
      </c>
      <c r="V35" s="112">
        <v>80</v>
      </c>
      <c r="W35" s="119">
        <v>66.22</v>
      </c>
      <c r="X35" s="119">
        <v>121.89</v>
      </c>
      <c r="Z35" s="117"/>
      <c r="AE35" s="91"/>
      <c r="AF35" s="4"/>
      <c r="AG35" s="128"/>
      <c r="AH35" s="111"/>
      <c r="AI35" s="111"/>
      <c r="AJ35" s="111"/>
    </row>
    <row r="36" spans="2:36" ht="14.4">
      <c r="B36" s="112">
        <v>12</v>
      </c>
      <c r="C36" s="112">
        <v>13</v>
      </c>
      <c r="D36" s="113">
        <v>31.46</v>
      </c>
      <c r="E36" s="113">
        <v>38.11</v>
      </c>
      <c r="F36" s="113">
        <v>45.57</v>
      </c>
      <c r="G36" s="113">
        <v>46.29</v>
      </c>
      <c r="H36" s="113">
        <v>66.489999999999995</v>
      </c>
      <c r="I36" s="114">
        <v>68.58</v>
      </c>
      <c r="J36" s="113">
        <v>69.42</v>
      </c>
      <c r="K36" s="113">
        <v>69.81</v>
      </c>
      <c r="L36" s="113">
        <v>77.849999999999994</v>
      </c>
      <c r="M36" s="113">
        <v>114.16</v>
      </c>
      <c r="N36" s="113"/>
      <c r="V36" s="112">
        <v>90</v>
      </c>
      <c r="W36" s="119">
        <v>72.03</v>
      </c>
      <c r="X36" s="119">
        <v>132.68</v>
      </c>
      <c r="Z36" s="117"/>
      <c r="AE36" s="91"/>
      <c r="AF36" s="4"/>
      <c r="AG36" s="128"/>
      <c r="AH36" s="111"/>
      <c r="AI36" s="111"/>
      <c r="AJ36" s="111"/>
    </row>
    <row r="37" spans="2:36" ht="14.4">
      <c r="B37" s="112">
        <v>14</v>
      </c>
      <c r="C37" s="112">
        <v>16</v>
      </c>
      <c r="D37" s="113">
        <v>35.74</v>
      </c>
      <c r="E37" s="113">
        <v>43.37</v>
      </c>
      <c r="F37" s="113">
        <v>51.89</v>
      </c>
      <c r="G37" s="113">
        <v>52.7</v>
      </c>
      <c r="H37" s="113">
        <v>75.709999999999994</v>
      </c>
      <c r="I37" s="114">
        <v>78.12</v>
      </c>
      <c r="J37" s="113">
        <v>79.06</v>
      </c>
      <c r="K37" s="113">
        <v>79.44</v>
      </c>
      <c r="L37" s="113">
        <v>88.63</v>
      </c>
      <c r="M37" s="113">
        <v>129.99</v>
      </c>
      <c r="N37" s="113"/>
      <c r="P37" s="105" t="s">
        <v>96</v>
      </c>
      <c r="Q37" s="105" t="s">
        <v>101</v>
      </c>
      <c r="V37" s="112">
        <v>100</v>
      </c>
      <c r="W37" s="119">
        <v>78.510000000000005</v>
      </c>
      <c r="X37" s="119">
        <v>144.38999999999999</v>
      </c>
      <c r="Z37" s="117"/>
      <c r="AE37" s="91"/>
      <c r="AF37" s="4"/>
      <c r="AG37" s="128"/>
      <c r="AH37" s="111"/>
      <c r="AI37" s="111"/>
      <c r="AJ37" s="111"/>
    </row>
    <row r="38" spans="2:36" ht="14.4">
      <c r="B38" s="112">
        <v>17</v>
      </c>
      <c r="C38" s="112">
        <v>20</v>
      </c>
      <c r="D38" s="113">
        <v>40.130000000000003</v>
      </c>
      <c r="E38" s="113">
        <v>48.84</v>
      </c>
      <c r="F38" s="113">
        <v>58.62</v>
      </c>
      <c r="G38" s="113">
        <v>59.57</v>
      </c>
      <c r="H38" s="113">
        <v>85.55</v>
      </c>
      <c r="I38" s="114">
        <v>88.24</v>
      </c>
      <c r="J38" s="113">
        <v>89.29</v>
      </c>
      <c r="K38" s="113">
        <v>89.78</v>
      </c>
      <c r="L38" s="113">
        <v>100.17</v>
      </c>
      <c r="M38" s="113">
        <v>146.87</v>
      </c>
      <c r="N38" s="113"/>
      <c r="P38" s="221" t="s">
        <v>195</v>
      </c>
      <c r="Q38" s="221" t="s">
        <v>196</v>
      </c>
      <c r="V38" s="112">
        <v>125</v>
      </c>
      <c r="W38" s="119">
        <v>89.24</v>
      </c>
      <c r="X38" s="119">
        <v>164.29</v>
      </c>
      <c r="Z38" s="117"/>
      <c r="AE38" s="91"/>
      <c r="AF38" s="4"/>
      <c r="AG38" s="128"/>
      <c r="AH38" s="111"/>
      <c r="AI38" s="111"/>
      <c r="AJ38" s="111"/>
    </row>
    <row r="39" spans="2:36" ht="14.4">
      <c r="B39" s="112">
        <v>21</v>
      </c>
      <c r="C39" s="112">
        <v>23</v>
      </c>
      <c r="D39" s="113">
        <v>44.71</v>
      </c>
      <c r="E39" s="113">
        <v>54.54</v>
      </c>
      <c r="F39" s="113">
        <v>65.739999999999995</v>
      </c>
      <c r="G39" s="113">
        <v>66.8</v>
      </c>
      <c r="H39" s="113">
        <v>95.94</v>
      </c>
      <c r="I39" s="114">
        <v>99</v>
      </c>
      <c r="J39" s="113">
        <v>100.19</v>
      </c>
      <c r="K39" s="113">
        <v>100.68</v>
      </c>
      <c r="L39" s="113">
        <v>112.35</v>
      </c>
      <c r="M39" s="113">
        <v>164.75</v>
      </c>
      <c r="N39" s="113"/>
      <c r="P39" s="221"/>
      <c r="V39" s="112">
        <v>150</v>
      </c>
      <c r="W39" s="119">
        <v>103.89</v>
      </c>
      <c r="X39" s="119">
        <v>191.3</v>
      </c>
      <c r="Z39" s="117"/>
      <c r="AE39" s="91"/>
      <c r="AF39" s="4"/>
      <c r="AG39" s="128"/>
      <c r="AH39" s="111"/>
      <c r="AI39" s="111"/>
      <c r="AJ39" s="111"/>
    </row>
    <row r="40" spans="2:36" ht="14.4">
      <c r="B40" s="112">
        <v>24</v>
      </c>
      <c r="C40" s="112">
        <v>26</v>
      </c>
      <c r="D40" s="113">
        <v>49.29</v>
      </c>
      <c r="E40" s="113">
        <v>59.83</v>
      </c>
      <c r="F40" s="113">
        <v>72.650000000000006</v>
      </c>
      <c r="G40" s="113">
        <v>73.819999999999993</v>
      </c>
      <c r="H40" s="113">
        <v>106.03</v>
      </c>
      <c r="I40" s="114">
        <v>109.36</v>
      </c>
      <c r="J40" s="113">
        <v>110.68</v>
      </c>
      <c r="K40" s="113">
        <v>111.24</v>
      </c>
      <c r="L40" s="113">
        <v>124.16</v>
      </c>
      <c r="M40" s="113">
        <v>182.1</v>
      </c>
      <c r="N40" s="113"/>
      <c r="P40" s="105" t="s">
        <v>97</v>
      </c>
      <c r="Q40" s="105" t="s">
        <v>102</v>
      </c>
      <c r="V40" s="112">
        <v>125</v>
      </c>
      <c r="W40" s="119">
        <v>89.24</v>
      </c>
      <c r="X40" s="119">
        <v>164.29</v>
      </c>
      <c r="Z40" s="117"/>
      <c r="AE40" s="91"/>
      <c r="AF40" s="4"/>
      <c r="AG40" s="128"/>
      <c r="AH40" s="111"/>
      <c r="AI40" s="111"/>
      <c r="AJ40" s="111"/>
    </row>
    <row r="41" spans="2:36" ht="14.4">
      <c r="B41" s="112">
        <v>27</v>
      </c>
      <c r="C41" s="112">
        <v>30</v>
      </c>
      <c r="D41" s="113">
        <v>53.31</v>
      </c>
      <c r="E41" s="113">
        <v>65.48</v>
      </c>
      <c r="F41" s="113">
        <v>79.650000000000006</v>
      </c>
      <c r="G41" s="113">
        <v>80.900000000000006</v>
      </c>
      <c r="H41" s="113">
        <v>116.21</v>
      </c>
      <c r="I41" s="114">
        <v>119.9</v>
      </c>
      <c r="J41" s="113">
        <v>121.36</v>
      </c>
      <c r="K41" s="113">
        <v>121.97</v>
      </c>
      <c r="L41" s="113">
        <v>136.09</v>
      </c>
      <c r="M41" s="113">
        <v>199.57</v>
      </c>
      <c r="N41" s="113"/>
      <c r="P41" s="221" t="s">
        <v>197</v>
      </c>
      <c r="Q41" s="221" t="s">
        <v>198</v>
      </c>
      <c r="V41" s="112">
        <v>175</v>
      </c>
      <c r="W41" s="119">
        <v>117.17</v>
      </c>
      <c r="X41" s="119">
        <v>215.67</v>
      </c>
      <c r="Z41" s="117"/>
      <c r="AE41" s="91"/>
      <c r="AF41" s="4"/>
      <c r="AG41" s="128"/>
      <c r="AH41" s="111"/>
      <c r="AI41" s="111"/>
      <c r="AJ41" s="111"/>
    </row>
    <row r="42" spans="2:36" ht="14.4">
      <c r="B42" s="112"/>
      <c r="C42" s="112"/>
      <c r="D42" s="113"/>
      <c r="E42" s="113"/>
      <c r="F42" s="113"/>
      <c r="G42" s="113"/>
      <c r="H42" s="113"/>
      <c r="I42" s="114"/>
      <c r="J42" s="113"/>
      <c r="K42" s="113"/>
      <c r="L42" s="113"/>
      <c r="M42" s="113"/>
      <c r="N42" s="113"/>
      <c r="P42" s="221" t="s">
        <v>199</v>
      </c>
      <c r="Q42" s="221" t="s">
        <v>200</v>
      </c>
      <c r="V42" s="112">
        <v>200</v>
      </c>
      <c r="W42" s="119">
        <v>131.13999999999999</v>
      </c>
      <c r="X42" s="119">
        <v>241.33</v>
      </c>
      <c r="Z42" s="117"/>
      <c r="AE42" s="91"/>
      <c r="AF42" s="4"/>
      <c r="AG42" s="128"/>
      <c r="AH42" s="111"/>
      <c r="AI42" s="111"/>
      <c r="AJ42" s="111"/>
    </row>
    <row r="43" spans="2:36" ht="14.4">
      <c r="Q43" s="221" t="s">
        <v>201</v>
      </c>
      <c r="V43" s="112">
        <v>250</v>
      </c>
      <c r="W43" s="119">
        <v>149.24</v>
      </c>
      <c r="X43" s="119">
        <v>274.85000000000002</v>
      </c>
      <c r="Z43" s="117"/>
      <c r="AE43" s="91"/>
      <c r="AF43" s="4"/>
      <c r="AG43" s="128"/>
      <c r="AH43" s="111"/>
      <c r="AI43" s="111"/>
      <c r="AJ43" s="111"/>
    </row>
    <row r="44" spans="2:36" ht="17.399999999999999">
      <c r="B44" s="129" t="s">
        <v>54</v>
      </c>
      <c r="D44" s="130">
        <v>1</v>
      </c>
      <c r="P44" s="105" t="s">
        <v>98</v>
      </c>
      <c r="Q44" s="221" t="s">
        <v>202</v>
      </c>
      <c r="V44" s="112">
        <v>300</v>
      </c>
      <c r="W44" s="119">
        <v>168.71</v>
      </c>
      <c r="X44" s="119">
        <v>310.61</v>
      </c>
      <c r="Z44" s="117"/>
      <c r="AE44" s="91"/>
      <c r="AF44" s="4"/>
      <c r="AG44" s="128"/>
      <c r="AH44" s="111"/>
      <c r="AI44" s="111"/>
      <c r="AJ44" s="111"/>
    </row>
    <row r="45" spans="2:36" ht="17.399999999999999">
      <c r="B45" s="129" t="s">
        <v>55</v>
      </c>
      <c r="E45" s="131">
        <v>0.47</v>
      </c>
      <c r="P45" s="221" t="s">
        <v>203</v>
      </c>
      <c r="Q45" s="221" t="s">
        <v>204</v>
      </c>
      <c r="V45" s="112">
        <v>350</v>
      </c>
      <c r="W45" s="119">
        <v>189.15</v>
      </c>
      <c r="X45" s="119">
        <v>348.3</v>
      </c>
      <c r="Z45" s="117"/>
      <c r="AE45" s="91"/>
      <c r="AF45" s="4"/>
      <c r="AG45" s="128"/>
      <c r="AH45" s="111"/>
      <c r="AI45" s="111"/>
      <c r="AJ45" s="111"/>
    </row>
    <row r="46" spans="2:36" ht="17.399999999999999">
      <c r="B46" s="13" t="s">
        <v>56</v>
      </c>
      <c r="P46" s="221" t="s">
        <v>205</v>
      </c>
      <c r="V46" s="112">
        <v>400</v>
      </c>
      <c r="W46" s="119">
        <v>209.08</v>
      </c>
      <c r="X46" s="119">
        <v>384.87</v>
      </c>
      <c r="Z46" s="117"/>
      <c r="AE46" s="91"/>
      <c r="AF46" s="4"/>
      <c r="AG46" s="128"/>
      <c r="AH46" s="111"/>
      <c r="AI46" s="111"/>
      <c r="AJ46" s="111"/>
    </row>
    <row r="47" spans="2:36" ht="17.399999999999999">
      <c r="B47" s="132" t="s">
        <v>57</v>
      </c>
      <c r="C47" s="13"/>
      <c r="D47" s="13"/>
      <c r="E47" s="13"/>
      <c r="F47" s="13"/>
      <c r="G47" s="117"/>
      <c r="H47" s="117"/>
      <c r="I47" s="133"/>
      <c r="J47" s="117"/>
      <c r="K47" s="117"/>
      <c r="L47" s="117"/>
      <c r="M47" s="117"/>
      <c r="P47" s="221" t="s">
        <v>206</v>
      </c>
      <c r="Q47" s="105" t="s">
        <v>103</v>
      </c>
      <c r="V47" s="112">
        <v>450</v>
      </c>
      <c r="W47" s="119">
        <v>229.12</v>
      </c>
      <c r="X47" s="119">
        <v>421.89</v>
      </c>
      <c r="Z47" s="117"/>
      <c r="AE47" s="91"/>
      <c r="AF47" s="4"/>
      <c r="AG47" s="128"/>
      <c r="AH47" s="111"/>
      <c r="AI47" s="111"/>
      <c r="AJ47" s="111"/>
    </row>
    <row r="48" spans="2:36" s="64" customFormat="1" ht="21">
      <c r="B48" s="134" t="s">
        <v>58</v>
      </c>
      <c r="C48" s="135">
        <v>0</v>
      </c>
      <c r="D48" s="13" t="s">
        <v>59</v>
      </c>
      <c r="F48" s="136"/>
      <c r="P48" s="221" t="s">
        <v>207</v>
      </c>
      <c r="Q48" s="221" t="s">
        <v>208</v>
      </c>
      <c r="V48" s="112">
        <v>500</v>
      </c>
      <c r="W48" s="119">
        <v>250.21</v>
      </c>
      <c r="X48" s="119">
        <v>460.59</v>
      </c>
      <c r="Z48" s="117"/>
      <c r="AE48" s="91"/>
      <c r="AI48" s="111"/>
      <c r="AJ48" s="111"/>
    </row>
    <row r="49" spans="1:36" s="13" customFormat="1" ht="14.4">
      <c r="B49" s="137" t="s">
        <v>60</v>
      </c>
      <c r="H49" s="233" t="str">
        <f>(IF(C48=0.08,AG26,IF(C48=0.07,AG27,IF(C48=0.06,AG28,IF(C48=0.05,AG29,IF(C48=0.04,AG30,IF(C48=0.03,AG31,IF(C48=0.02,AG32,IF(C48=0.01,AG33,AG34)))))))))</f>
        <v>el valor IPEM vigente</v>
      </c>
      <c r="I49" s="233"/>
      <c r="P49" s="221" t="s">
        <v>209</v>
      </c>
      <c r="Q49" s="221" t="s">
        <v>210</v>
      </c>
      <c r="V49" s="112">
        <v>600</v>
      </c>
      <c r="W49" s="119">
        <v>308.63</v>
      </c>
      <c r="X49" s="119">
        <v>568.21</v>
      </c>
      <c r="Z49" s="117"/>
      <c r="AE49" s="91"/>
      <c r="AI49" s="111"/>
      <c r="AJ49" s="111"/>
    </row>
    <row r="50" spans="1:36" s="13" customFormat="1" ht="14.25" customHeight="1">
      <c r="B50" s="137" t="s">
        <v>61</v>
      </c>
      <c r="C50" s="138" t="str">
        <f>+IF(C48=0.08,AH26,IF(C48=0.07,AH27,IF(C48=0.06,AH28,IF(C48=0.05,AH29,IF(C48=0.04,AH30,IF(C48=0.03,AH31,IF(C48=0.02,AH32,IF(C48=0.01,AH33,AH34))))))))</f>
        <v>1/3 del IPREM</v>
      </c>
      <c r="D50" s="13" t="str">
        <f>IF(C50="1/3 del IPREM","según LCTTM.","por envío.")</f>
        <v>según LCTTM.</v>
      </c>
      <c r="P50" s="221" t="s">
        <v>211</v>
      </c>
      <c r="Q50" s="221" t="s">
        <v>212</v>
      </c>
      <c r="V50" s="112">
        <v>700</v>
      </c>
      <c r="W50" s="119">
        <v>351.17</v>
      </c>
      <c r="X50" s="119">
        <v>646.55999999999995</v>
      </c>
      <c r="Z50" s="117"/>
      <c r="AE50" s="91"/>
      <c r="AI50" s="111"/>
      <c r="AJ50" s="111"/>
    </row>
    <row r="51" spans="1:36" s="64" customFormat="1" ht="25.5" customHeight="1">
      <c r="B51" s="129" t="s">
        <v>62</v>
      </c>
      <c r="D51" s="139"/>
      <c r="F51" s="139"/>
      <c r="P51" s="221" t="s">
        <v>213</v>
      </c>
      <c r="Q51" s="221" t="s">
        <v>214</v>
      </c>
      <c r="V51" s="112">
        <v>800</v>
      </c>
      <c r="W51" s="119">
        <v>394.15</v>
      </c>
      <c r="X51" s="119">
        <v>725.78</v>
      </c>
      <c r="Z51" s="117"/>
      <c r="AE51" s="91"/>
      <c r="AI51" s="111"/>
      <c r="AJ51" s="111"/>
    </row>
    <row r="52" spans="1:36" s="64" customFormat="1" ht="25.5" customHeight="1">
      <c r="B52" s="62" t="s">
        <v>63</v>
      </c>
      <c r="H52" s="140">
        <f>H18</f>
        <v>250</v>
      </c>
      <c r="I52" s="137" t="s">
        <v>64</v>
      </c>
      <c r="J52" s="141"/>
      <c r="P52" s="221" t="s">
        <v>215</v>
      </c>
      <c r="Q52" s="13"/>
      <c r="V52" s="112">
        <v>900</v>
      </c>
      <c r="W52" s="119">
        <v>437.79</v>
      </c>
      <c r="X52" s="119">
        <v>806.18</v>
      </c>
      <c r="Z52" s="117"/>
      <c r="AE52" s="91"/>
      <c r="AI52" s="111"/>
      <c r="AJ52" s="111"/>
    </row>
    <row r="53" spans="1:36" ht="21" customHeight="1">
      <c r="B53" s="13" t="s">
        <v>65</v>
      </c>
      <c r="F53" s="142"/>
      <c r="G53" s="143"/>
      <c r="H53" s="144"/>
      <c r="I53" s="143"/>
      <c r="P53" s="221" t="s">
        <v>216</v>
      </c>
      <c r="V53" s="112">
        <v>1000</v>
      </c>
      <c r="W53" s="119">
        <v>487.58</v>
      </c>
      <c r="X53" s="119">
        <v>897.79</v>
      </c>
      <c r="Z53" s="117"/>
      <c r="AE53" s="91"/>
      <c r="AI53" s="111"/>
      <c r="AJ53" s="111"/>
    </row>
    <row r="54" spans="1:36" s="64" customFormat="1" ht="21" thickBot="1">
      <c r="A54" s="21"/>
      <c r="B54" s="13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P54" s="221" t="s">
        <v>217</v>
      </c>
      <c r="Q54" s="21"/>
      <c r="V54" s="148" t="s">
        <v>71</v>
      </c>
      <c r="W54" s="149">
        <f>IFERROR(VLOOKUP($V54,'[1]GENERAL E&amp;P'!$A$9:$V$36,W$24,FALSE),"")</f>
        <v>100.36</v>
      </c>
      <c r="X54" s="149">
        <f>IFERROR(VLOOKUP($V54,'[1]GENERAL E&amp;P'!$A$9:$V$36,X$24,FALSE),"")</f>
        <v>129.62</v>
      </c>
      <c r="Z54" s="117"/>
      <c r="AE54" s="91"/>
      <c r="AI54" s="111"/>
      <c r="AJ54" s="111"/>
    </row>
    <row r="55" spans="1:36" ht="15.6">
      <c r="A55" s="64"/>
      <c r="B55" s="62" t="s">
        <v>66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P55" s="221" t="s">
        <v>218</v>
      </c>
      <c r="Z55" s="117"/>
      <c r="AE55" s="91"/>
      <c r="AI55" s="111"/>
      <c r="AJ55" s="111"/>
    </row>
    <row r="56" spans="1:36" ht="15.6">
      <c r="B56" s="129"/>
      <c r="C56" s="64"/>
      <c r="D56" s="139"/>
      <c r="E56" s="64"/>
      <c r="F56" s="139"/>
      <c r="P56" s="221" t="s">
        <v>219</v>
      </c>
      <c r="Z56" s="117"/>
      <c r="AE56" s="91"/>
      <c r="AI56" s="111"/>
      <c r="AJ56" s="111"/>
    </row>
    <row r="57" spans="1:36" ht="15.6">
      <c r="B57" s="62" t="s">
        <v>67</v>
      </c>
      <c r="C57" s="64"/>
      <c r="D57" s="145" t="s">
        <v>68</v>
      </c>
      <c r="E57" s="220">
        <v>0</v>
      </c>
      <c r="G57" s="21" t="str">
        <f>IF(OR(E57="",E57=0),"Falta indicar el número de envíos/mes","")</f>
        <v>Falta indicar el número de envíos/mes</v>
      </c>
      <c r="H57" s="64"/>
      <c r="I57" s="64"/>
      <c r="J57" s="64"/>
      <c r="P57" s="221" t="s">
        <v>220</v>
      </c>
      <c r="Z57" s="117"/>
      <c r="AE57" s="91"/>
      <c r="AI57" s="111"/>
      <c r="AJ57" s="111"/>
    </row>
    <row r="58" spans="1:36" ht="15.6">
      <c r="B58" s="129"/>
      <c r="C58" s="64"/>
      <c r="D58" s="145" t="s">
        <v>69</v>
      </c>
      <c r="E58" s="146">
        <v>0</v>
      </c>
      <c r="F58" s="139"/>
      <c r="G58" s="21" t="str">
        <f>IF(OR(E58="",E58=0),"Falta indicar la facturación/mes","")</f>
        <v>Falta indicar la facturación/mes</v>
      </c>
      <c r="H58" s="64"/>
      <c r="I58" s="64"/>
      <c r="J58" s="64"/>
      <c r="Z58" s="117"/>
      <c r="AE58" s="91"/>
      <c r="AF58" s="4"/>
      <c r="AG58" s="128"/>
      <c r="AH58" s="111"/>
      <c r="AI58" s="111"/>
      <c r="AJ58" s="111"/>
    </row>
    <row r="59" spans="1:36" ht="15.6">
      <c r="B59" s="62" t="s">
        <v>70</v>
      </c>
      <c r="C59" s="64"/>
      <c r="D59" s="139"/>
      <c r="E59" s="64"/>
      <c r="F59" s="139"/>
      <c r="P59" s="105" t="s">
        <v>99</v>
      </c>
      <c r="Z59" s="117"/>
      <c r="AE59" s="91"/>
      <c r="AF59" s="147"/>
      <c r="AG59" s="128"/>
      <c r="AH59" s="111"/>
      <c r="AI59" s="111"/>
      <c r="AJ59" s="111"/>
    </row>
    <row r="60" spans="1:36" ht="14.4">
      <c r="P60" s="221" t="s">
        <v>221</v>
      </c>
      <c r="Z60" s="150"/>
      <c r="AE60" s="91"/>
      <c r="AF60" s="4"/>
      <c r="AG60" s="128"/>
      <c r="AH60" s="111"/>
      <c r="AI60" s="111"/>
      <c r="AJ60" s="111"/>
    </row>
    <row r="61" spans="1:36" s="13" customFormat="1" ht="17.399999999999999">
      <c r="A61" s="21"/>
      <c r="B61" s="62" t="s">
        <v>72</v>
      </c>
      <c r="C61" s="62"/>
      <c r="D61" s="62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21" t="s">
        <v>222</v>
      </c>
      <c r="Q61" s="21"/>
      <c r="AF61" s="4"/>
      <c r="AG61" s="128"/>
      <c r="AH61" s="111"/>
      <c r="AI61" s="111"/>
      <c r="AJ61" s="111"/>
    </row>
    <row r="62" spans="1:36" s="13" customFormat="1" ht="15.6">
      <c r="B62" s="151" t="s">
        <v>73</v>
      </c>
      <c r="C62" s="152">
        <v>46023</v>
      </c>
      <c r="P62" s="221" t="s">
        <v>223</v>
      </c>
      <c r="Q62" s="64"/>
      <c r="AF62" s="4"/>
      <c r="AG62" s="128"/>
      <c r="AH62" s="111"/>
      <c r="AI62" s="111"/>
      <c r="AJ62" s="111"/>
    </row>
    <row r="63" spans="1:36" ht="14.4">
      <c r="A63" s="13"/>
      <c r="B63" s="151" t="s">
        <v>74</v>
      </c>
      <c r="C63" s="153" t="s">
        <v>75</v>
      </c>
      <c r="D63" s="5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221" t="s">
        <v>224</v>
      </c>
      <c r="Q63" s="13"/>
      <c r="AF63" s="4"/>
      <c r="AG63" s="128"/>
      <c r="AH63" s="111"/>
      <c r="AI63" s="111"/>
      <c r="AJ63" s="111"/>
    </row>
    <row r="64" spans="1:36" s="13" customFormat="1" ht="15.75" customHeight="1">
      <c r="A64" s="21"/>
      <c r="B64" s="154"/>
      <c r="C64" s="155"/>
      <c r="D64" s="156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21" t="s">
        <v>225</v>
      </c>
      <c r="AF64" s="4"/>
      <c r="AG64" s="128"/>
      <c r="AH64" s="111"/>
      <c r="AI64" s="111"/>
      <c r="AJ64" s="111"/>
    </row>
    <row r="65" spans="1:36" s="13" customFormat="1" ht="15.6">
      <c r="B65" s="234" t="s">
        <v>76</v>
      </c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157"/>
      <c r="P65" s="221" t="s">
        <v>226</v>
      </c>
      <c r="Q65" s="64"/>
      <c r="AF65" s="4"/>
      <c r="AG65" s="128"/>
      <c r="AH65" s="111"/>
      <c r="AI65" s="111"/>
      <c r="AJ65" s="111"/>
    </row>
    <row r="66" spans="1:36" s="13" customFormat="1" ht="15.6"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157"/>
      <c r="P66" s="221" t="s">
        <v>227</v>
      </c>
      <c r="Q66" s="64"/>
      <c r="AF66" s="4"/>
      <c r="AG66" s="128"/>
      <c r="AH66" s="111"/>
      <c r="AI66" s="111"/>
      <c r="AJ66" s="111"/>
    </row>
    <row r="67" spans="1:36" s="13" customFormat="1" ht="14.4"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157"/>
      <c r="P67" s="221" t="s">
        <v>228</v>
      </c>
      <c r="Q67" s="21"/>
      <c r="AF67" s="4"/>
      <c r="AG67" s="128"/>
      <c r="AH67" s="111"/>
      <c r="AI67" s="111"/>
      <c r="AJ67" s="111"/>
    </row>
    <row r="68" spans="1:36" s="13" customFormat="1" ht="15.6">
      <c r="B68" s="158" t="s">
        <v>77</v>
      </c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221" t="s">
        <v>229</v>
      </c>
      <c r="Q68" s="64"/>
      <c r="AF68" s="4"/>
      <c r="AG68" s="128"/>
      <c r="AH68" s="111"/>
      <c r="AI68" s="111"/>
      <c r="AJ68" s="111"/>
    </row>
    <row r="69" spans="1:36" s="13" customFormat="1" ht="14.4">
      <c r="B69" s="158" t="s">
        <v>78</v>
      </c>
      <c r="C69" s="160"/>
      <c r="D69" s="160"/>
      <c r="E69" s="160"/>
      <c r="F69" s="158"/>
      <c r="G69" s="161"/>
      <c r="H69" s="162"/>
      <c r="I69" s="162"/>
      <c r="J69" s="162"/>
      <c r="K69" s="162"/>
      <c r="L69" s="162"/>
      <c r="M69" s="162"/>
      <c r="N69" s="162"/>
      <c r="O69" s="163"/>
      <c r="P69" s="221" t="s">
        <v>230</v>
      </c>
      <c r="Q69" s="21"/>
      <c r="AF69" s="4"/>
      <c r="AG69" s="128"/>
      <c r="AH69" s="111"/>
      <c r="AI69" s="111"/>
      <c r="AJ69" s="111"/>
    </row>
    <row r="70" spans="1:36" s="13" customFormat="1" ht="14.4">
      <c r="B70" s="164" t="s">
        <v>79</v>
      </c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221" t="s">
        <v>231</v>
      </c>
      <c r="Q70" s="21"/>
      <c r="AF70" s="4"/>
      <c r="AG70" s="128"/>
      <c r="AH70" s="111"/>
      <c r="AI70" s="111"/>
      <c r="AJ70" s="111"/>
    </row>
    <row r="71" spans="1:36" s="13" customFormat="1" ht="14.4">
      <c r="B71" s="158" t="s">
        <v>80</v>
      </c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P71" s="21"/>
      <c r="Q71" s="21"/>
      <c r="AF71" s="4"/>
      <c r="AG71" s="128"/>
      <c r="AH71" s="111"/>
      <c r="AI71" s="111"/>
      <c r="AJ71" s="111"/>
    </row>
    <row r="72" spans="1:36" ht="14.4">
      <c r="A72" s="13"/>
      <c r="B72" s="158" t="s">
        <v>81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AF72" s="4"/>
      <c r="AG72" s="128"/>
      <c r="AH72" s="111"/>
      <c r="AI72" s="111"/>
      <c r="AJ72" s="111"/>
    </row>
    <row r="73" spans="1:36" ht="14.4">
      <c r="B73" s="158" t="s">
        <v>82</v>
      </c>
      <c r="AB73" s="13"/>
      <c r="AC73" s="13"/>
      <c r="AD73" s="13"/>
      <c r="AF73" s="4"/>
      <c r="AG73" s="128"/>
      <c r="AH73" s="111"/>
      <c r="AI73" s="111"/>
      <c r="AJ73" s="111"/>
    </row>
    <row r="74" spans="1:36" s="13" customFormat="1" ht="14.4">
      <c r="B74" s="158" t="s">
        <v>83</v>
      </c>
      <c r="AB74" s="21"/>
      <c r="AC74" s="21"/>
      <c r="AD74" s="21"/>
      <c r="AF74" s="4"/>
      <c r="AG74" s="128"/>
      <c r="AH74" s="111"/>
      <c r="AI74" s="111"/>
      <c r="AJ74" s="111"/>
    </row>
    <row r="75" spans="1:36" ht="14.4">
      <c r="B75" s="158" t="s">
        <v>84</v>
      </c>
      <c r="AF75" s="4"/>
      <c r="AG75" s="128"/>
      <c r="AH75" s="111"/>
      <c r="AI75" s="111"/>
      <c r="AJ75" s="111"/>
    </row>
    <row r="76" spans="1:36" ht="14.4">
      <c r="B76" s="166" t="s">
        <v>85</v>
      </c>
      <c r="AF76" s="4"/>
      <c r="AG76" s="128"/>
      <c r="AH76" s="111"/>
      <c r="AI76" s="111"/>
      <c r="AJ76" s="111"/>
    </row>
    <row r="77" spans="1:36" ht="14.4">
      <c r="B77" s="166" t="s">
        <v>86</v>
      </c>
      <c r="AF77" s="4"/>
      <c r="AG77" s="128"/>
      <c r="AH77" s="111"/>
      <c r="AI77" s="111"/>
      <c r="AJ77" s="111"/>
    </row>
    <row r="78" spans="1:36" ht="14.4">
      <c r="B78" s="167" t="s">
        <v>87</v>
      </c>
      <c r="G78" s="168">
        <f ca="1">EDATE(C84,3)</f>
        <v>46291</v>
      </c>
      <c r="AF78" s="4"/>
      <c r="AG78" s="128"/>
      <c r="AH78" s="111"/>
      <c r="AI78" s="111"/>
      <c r="AJ78" s="111"/>
    </row>
    <row r="79" spans="1:36" ht="14.4">
      <c r="AF79" s="4"/>
      <c r="AG79" s="128"/>
      <c r="AH79" s="111"/>
      <c r="AI79" s="111"/>
      <c r="AJ79" s="111"/>
    </row>
    <row r="80" spans="1:36" ht="18.600000000000001" thickBot="1">
      <c r="B80" s="49" t="s">
        <v>88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169"/>
      <c r="AF80" s="4"/>
      <c r="AG80" s="128"/>
      <c r="AH80" s="111"/>
      <c r="AI80" s="111"/>
      <c r="AJ80" s="111"/>
    </row>
    <row r="81" spans="1:36" ht="16.5" customHeight="1">
      <c r="A81" s="13"/>
      <c r="B81" s="170" t="s">
        <v>89</v>
      </c>
      <c r="C81" s="170"/>
      <c r="D81" s="170"/>
      <c r="E81" s="171"/>
      <c r="F81" s="171"/>
      <c r="G81" s="170" t="s">
        <v>90</v>
      </c>
      <c r="H81" s="171"/>
      <c r="I81" s="171"/>
      <c r="J81" s="171"/>
      <c r="K81" s="171"/>
      <c r="L81" s="171"/>
      <c r="M81" s="171"/>
      <c r="N81" s="171"/>
      <c r="O81" s="171"/>
      <c r="AF81" s="4"/>
      <c r="AG81" s="128"/>
      <c r="AH81" s="111"/>
      <c r="AI81" s="111"/>
      <c r="AJ81" s="111"/>
    </row>
    <row r="82" spans="1:36" ht="15.6">
      <c r="B82" s="62"/>
      <c r="C82" s="13"/>
      <c r="D82" s="13"/>
      <c r="E82" s="13"/>
      <c r="F82" s="13"/>
      <c r="G82" s="62"/>
      <c r="H82" s="13"/>
      <c r="I82" s="13"/>
      <c r="J82" s="13"/>
      <c r="K82" s="13"/>
      <c r="L82" s="13"/>
      <c r="M82" s="13"/>
      <c r="P82" s="13"/>
      <c r="AF82" s="4"/>
      <c r="AG82" s="128"/>
      <c r="AH82" s="111"/>
      <c r="AI82" s="111"/>
      <c r="AJ82" s="111"/>
    </row>
    <row r="83" spans="1:36" ht="15.6">
      <c r="B83" s="62" t="s">
        <v>91</v>
      </c>
      <c r="C83" s="13"/>
      <c r="D83" s="13"/>
      <c r="E83" s="13"/>
      <c r="F83" s="13"/>
      <c r="G83" s="62" t="s">
        <v>91</v>
      </c>
      <c r="H83" s="137"/>
      <c r="I83" s="13"/>
      <c r="J83" s="13"/>
      <c r="K83" s="13"/>
      <c r="L83" s="13"/>
      <c r="M83" s="13"/>
      <c r="AF83" s="4"/>
      <c r="AG83" s="128"/>
      <c r="AH83" s="111"/>
      <c r="AI83" s="111"/>
      <c r="AJ83" s="111"/>
    </row>
    <row r="84" spans="1:36" ht="15.6">
      <c r="B84" s="62" t="s">
        <v>92</v>
      </c>
      <c r="C84" s="168">
        <f ca="1">TODAY()</f>
        <v>46199</v>
      </c>
      <c r="D84" s="53"/>
      <c r="E84" s="13"/>
      <c r="F84" s="13"/>
      <c r="G84" s="62" t="s">
        <v>92</v>
      </c>
      <c r="H84" s="168">
        <f ca="1">TODAY()</f>
        <v>46199</v>
      </c>
      <c r="I84" s="13"/>
      <c r="J84" s="13"/>
      <c r="K84" s="13"/>
      <c r="L84" s="13"/>
      <c r="M84" s="13"/>
      <c r="AF84" s="4"/>
      <c r="AG84" s="128"/>
      <c r="AH84" s="111"/>
      <c r="AI84" s="111"/>
      <c r="AJ84" s="111"/>
    </row>
    <row r="85" spans="1:36" ht="15.6">
      <c r="B85" s="62" t="s">
        <v>93</v>
      </c>
      <c r="C85" s="172"/>
      <c r="D85" s="173"/>
      <c r="E85" s="173"/>
      <c r="F85" s="13"/>
      <c r="G85" s="62" t="s">
        <v>93</v>
      </c>
      <c r="H85" s="13"/>
      <c r="I85" s="13"/>
      <c r="J85" s="13"/>
      <c r="K85" s="13"/>
      <c r="L85" s="13"/>
      <c r="M85" s="13"/>
      <c r="AF85" s="4"/>
      <c r="AG85" s="128"/>
      <c r="AH85" s="111"/>
      <c r="AI85" s="111"/>
      <c r="AJ85" s="111"/>
    </row>
    <row r="86" spans="1:36" ht="15.6">
      <c r="B86" s="62"/>
      <c r="C86" s="172"/>
      <c r="D86" s="173"/>
      <c r="E86" s="173"/>
      <c r="F86" s="13"/>
      <c r="G86" s="62"/>
      <c r="H86" s="13"/>
      <c r="I86" s="13"/>
      <c r="J86" s="13"/>
      <c r="K86" s="13"/>
      <c r="L86" s="13"/>
      <c r="M86" s="13"/>
      <c r="AF86" s="4"/>
      <c r="AG86" s="128"/>
      <c r="AH86" s="111"/>
      <c r="AI86" s="111"/>
      <c r="AJ86" s="111"/>
    </row>
    <row r="87" spans="1:36" ht="14.4">
      <c r="AF87" s="4"/>
      <c r="AG87" s="128"/>
      <c r="AH87" s="111"/>
      <c r="AI87" s="111"/>
      <c r="AJ87" s="111"/>
    </row>
    <row r="88" spans="1:36">
      <c r="AF88" s="174"/>
      <c r="AG88" s="147"/>
      <c r="AH88" s="111"/>
      <c r="AI88" s="111"/>
      <c r="AJ88" s="111"/>
    </row>
    <row r="89" spans="1:36" ht="15.6">
      <c r="B89" s="175"/>
      <c r="C89" s="172"/>
      <c r="D89" s="173"/>
      <c r="E89" s="173"/>
      <c r="F89" s="13"/>
      <c r="G89" s="62"/>
      <c r="H89" s="13"/>
      <c r="I89" s="13"/>
      <c r="J89" s="13"/>
      <c r="K89" s="13"/>
      <c r="L89" s="13"/>
      <c r="M89" s="13"/>
      <c r="AF89" s="174"/>
      <c r="AG89" s="147"/>
      <c r="AH89" s="111"/>
      <c r="AI89" s="111"/>
      <c r="AJ89" s="111"/>
    </row>
    <row r="90" spans="1:36">
      <c r="AF90" s="174"/>
      <c r="AG90" s="147"/>
      <c r="AH90" s="111"/>
      <c r="AI90" s="111"/>
      <c r="AJ90" s="111"/>
    </row>
  </sheetData>
  <mergeCells count="4">
    <mergeCell ref="G10:I10"/>
    <mergeCell ref="G12:I12"/>
    <mergeCell ref="H49:I49"/>
    <mergeCell ref="B65:N67"/>
  </mergeCells>
  <conditionalFormatting sqref="D62:G62">
    <cfRule type="expression" dxfId="7" priority="2">
      <formula>$D$62="Falta indicar la fecha de inicio de validez de la tarifa"</formula>
    </cfRule>
  </conditionalFormatting>
  <conditionalFormatting sqref="G22">
    <cfRule type="cellIs" dxfId="6" priority="1" stopIfTrue="1" operator="equal">
      <formula>"no suma 100%"</formula>
    </cfRule>
  </conditionalFormatting>
  <conditionalFormatting sqref="G57:J57">
    <cfRule type="expression" dxfId="5" priority="4">
      <formula>$G$57="Falta indicar el número de envíos/mes"</formula>
    </cfRule>
  </conditionalFormatting>
  <conditionalFormatting sqref="G58:J58">
    <cfRule type="expression" dxfId="4" priority="3">
      <formula>$G$58="Falta indicar la facturación/mes"</formula>
    </cfRule>
  </conditionalFormatting>
  <conditionalFormatting sqref="AI28:AI87">
    <cfRule type="cellIs" dxfId="3" priority="5" operator="notEqual">
      <formula>#REF!</formula>
    </cfRule>
  </conditionalFormatting>
  <dataValidations count="1">
    <dataValidation type="whole" allowBlank="1" showInputMessage="1" showErrorMessage="1" sqref="E57" xr:uid="{586908FA-5AF1-44EB-A355-95C6A685933C}">
      <formula1>1</formula1>
      <formula2>999999</formula2>
    </dataValidation>
  </dataValidations>
  <printOptions horizontalCentered="1"/>
  <pageMargins left="0.31496062992125984" right="0.23622047244094491" top="0.51181102362204722" bottom="0.74803149606299213" header="0.31496062992125984" footer="0.31496062992125984"/>
  <pageSetup paperSize="9" scale="45" fitToWidth="2" orientation="portrait" r:id="rId1"/>
  <headerFooter>
    <oddFooter>&amp;C&amp;"Calibri,Regular"Página &amp;P de &amp;N</oddFooter>
  </headerFooter>
  <colBreaks count="2" manualBreakCount="2">
    <brk id="15" max="78" man="1"/>
    <brk id="27" max="9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65A9-A0AA-4621-8391-64ED79384484}">
  <sheetPr codeName="Sheet9">
    <tabColor rgb="FFFFCC00"/>
    <pageSetUpPr fitToPage="1"/>
  </sheetPr>
  <dimension ref="A1:AA113"/>
  <sheetViews>
    <sheetView showGridLines="0" showRowColHeaders="0" zoomScale="85" zoomScaleNormal="85" workbookViewId="0">
      <selection activeCell="E41" sqref="E41"/>
    </sheetView>
  </sheetViews>
  <sheetFormatPr baseColWidth="10" defaultColWidth="0" defaultRowHeight="31.2"/>
  <cols>
    <col min="1" max="1" width="6.5546875" style="219" customWidth="1"/>
    <col min="2" max="2" width="41.5546875" style="218" customWidth="1"/>
    <col min="3" max="3" width="3.44140625" style="218" customWidth="1"/>
    <col min="4" max="4" width="78.44140625" style="218" customWidth="1"/>
    <col min="5" max="5" width="40.33203125" style="217" customWidth="1"/>
    <col min="6" max="6" width="9" style="178" hidden="1" customWidth="1"/>
    <col min="7" max="16384" width="9.109375" style="178" hidden="1"/>
  </cols>
  <sheetData>
    <row r="1" spans="1:27">
      <c r="A1" s="31" t="s">
        <v>104</v>
      </c>
      <c r="B1" s="176"/>
      <c r="C1" s="176"/>
      <c r="D1" s="177"/>
      <c r="E1" s="177"/>
    </row>
    <row r="2" spans="1:27" ht="9.75" customHeight="1">
      <c r="A2" s="177"/>
      <c r="B2" s="177"/>
      <c r="C2" s="177"/>
      <c r="D2" s="177"/>
      <c r="E2" s="177"/>
    </row>
    <row r="3" spans="1:27" s="179" customFormat="1" ht="25.5" customHeight="1">
      <c r="A3" s="33" t="s">
        <v>105</v>
      </c>
      <c r="B3" s="33"/>
      <c r="C3" s="33"/>
      <c r="D3" s="33"/>
      <c r="E3" s="33"/>
    </row>
    <row r="4" spans="1:27">
      <c r="A4" s="180"/>
      <c r="B4" s="180"/>
      <c r="C4" s="180"/>
      <c r="D4" s="180"/>
      <c r="E4" s="180"/>
    </row>
    <row r="5" spans="1:27" ht="26.25" customHeight="1">
      <c r="A5" s="181"/>
      <c r="B5" s="181"/>
      <c r="C5" s="181"/>
      <c r="D5" s="181"/>
      <c r="E5" s="182"/>
    </row>
    <row r="6" spans="1:27" ht="26.25" customHeight="1">
      <c r="A6" s="181"/>
      <c r="B6" s="181"/>
      <c r="C6" s="181"/>
      <c r="D6" s="181"/>
      <c r="E6" s="182"/>
    </row>
    <row r="7" spans="1:27" s="179" customFormat="1" ht="28.8">
      <c r="A7" s="183"/>
      <c r="B7" s="183" t="s">
        <v>106</v>
      </c>
      <c r="C7" s="184"/>
      <c r="D7" s="185"/>
      <c r="E7" s="185"/>
    </row>
    <row r="8" spans="1:27" s="187" customFormat="1" ht="32.25" customHeight="1">
      <c r="A8" s="235" t="s">
        <v>107</v>
      </c>
      <c r="B8" s="235"/>
      <c r="C8" s="186"/>
      <c r="D8" s="186" t="s">
        <v>108</v>
      </c>
      <c r="E8" s="186" t="s">
        <v>109</v>
      </c>
    </row>
    <row r="9" spans="1:27" ht="36" customHeight="1" thickBot="1">
      <c r="A9" s="165"/>
      <c r="B9" s="236" t="s">
        <v>110</v>
      </c>
      <c r="C9" s="188"/>
      <c r="D9" s="237" t="s">
        <v>111</v>
      </c>
      <c r="E9" s="189" t="s">
        <v>112</v>
      </c>
      <c r="AA9" s="178" t="s">
        <v>112</v>
      </c>
    </row>
    <row r="10" spans="1:27" ht="36" customHeight="1" thickBot="1">
      <c r="A10" s="165"/>
      <c r="B10" s="236"/>
      <c r="C10" s="188"/>
      <c r="D10" s="237"/>
      <c r="E10" s="189" t="s">
        <v>113</v>
      </c>
      <c r="AA10" s="178" t="s">
        <v>113</v>
      </c>
    </row>
    <row r="11" spans="1:27" ht="36" customHeight="1" thickBot="1">
      <c r="A11" s="165"/>
      <c r="B11" s="236"/>
      <c r="C11" s="188"/>
      <c r="D11" s="237"/>
      <c r="E11" s="189" t="s">
        <v>114</v>
      </c>
      <c r="AA11" s="178" t="s">
        <v>114</v>
      </c>
    </row>
    <row r="12" spans="1:27" ht="36" customHeight="1" thickBot="1">
      <c r="A12" s="165"/>
      <c r="B12" s="238" t="s">
        <v>115</v>
      </c>
      <c r="C12" s="190"/>
      <c r="D12" s="191" t="s">
        <v>116</v>
      </c>
      <c r="E12" s="192">
        <v>23.5</v>
      </c>
      <c r="AA12" s="178">
        <v>23.5</v>
      </c>
    </row>
    <row r="13" spans="1:27" ht="36" customHeight="1" thickBot="1">
      <c r="A13" s="165"/>
      <c r="B13" s="237"/>
      <c r="C13" s="190"/>
      <c r="D13" s="191" t="s">
        <v>117</v>
      </c>
      <c r="E13" s="193">
        <v>23.5</v>
      </c>
      <c r="AA13" s="178">
        <v>23.5</v>
      </c>
    </row>
    <row r="14" spans="1:27" ht="36" customHeight="1" thickBot="1">
      <c r="A14" s="165"/>
      <c r="B14" s="239"/>
      <c r="C14" s="194"/>
      <c r="D14" s="195" t="s">
        <v>118</v>
      </c>
      <c r="E14" s="196">
        <v>5</v>
      </c>
      <c r="AA14" s="178">
        <v>5</v>
      </c>
    </row>
    <row r="15" spans="1:27" ht="36" customHeight="1" thickBot="1">
      <c r="A15" s="165"/>
      <c r="B15" s="188" t="s">
        <v>119</v>
      </c>
      <c r="C15" s="188"/>
      <c r="D15" s="195" t="s">
        <v>120</v>
      </c>
      <c r="E15" s="196">
        <v>18</v>
      </c>
      <c r="AA15" s="178">
        <v>18</v>
      </c>
    </row>
    <row r="16" spans="1:27" ht="24" customHeight="1" thickBot="1">
      <c r="A16" s="165"/>
      <c r="B16" s="240" t="s">
        <v>121</v>
      </c>
      <c r="C16" s="197"/>
      <c r="D16" s="238" t="s">
        <v>122</v>
      </c>
      <c r="E16" s="198" t="s">
        <v>112</v>
      </c>
      <c r="AA16" s="178" t="s">
        <v>123</v>
      </c>
    </row>
    <row r="17" spans="1:27" ht="24" customHeight="1" thickBot="1">
      <c r="A17" s="165"/>
      <c r="B17" s="241"/>
      <c r="C17" s="199"/>
      <c r="D17" s="237"/>
      <c r="E17" s="200" t="s">
        <v>124</v>
      </c>
      <c r="AA17" s="178" t="s">
        <v>124</v>
      </c>
    </row>
    <row r="18" spans="1:27" ht="24" customHeight="1" thickBot="1">
      <c r="A18" s="165"/>
      <c r="B18" s="241"/>
      <c r="C18" s="199"/>
      <c r="D18" s="237"/>
      <c r="E18" s="201" t="s">
        <v>234</v>
      </c>
      <c r="AA18" s="178" t="s">
        <v>125</v>
      </c>
    </row>
    <row r="19" spans="1:27" ht="24" customHeight="1" thickBot="1">
      <c r="A19" s="165"/>
      <c r="B19" s="242"/>
      <c r="C19" s="202"/>
      <c r="D19" s="239"/>
      <c r="E19" s="201" t="s">
        <v>235</v>
      </c>
      <c r="AA19" s="178" t="s">
        <v>126</v>
      </c>
    </row>
    <row r="20" spans="1:27" ht="36" customHeight="1" thickBot="1">
      <c r="A20" s="165"/>
      <c r="B20" s="194" t="s">
        <v>127</v>
      </c>
      <c r="C20" s="190"/>
      <c r="D20" s="195" t="s">
        <v>128</v>
      </c>
      <c r="E20" s="192">
        <v>3.5</v>
      </c>
      <c r="AA20" s="178">
        <v>3.5</v>
      </c>
    </row>
    <row r="21" spans="1:27" ht="36" customHeight="1" thickBot="1">
      <c r="A21" s="165"/>
      <c r="B21" s="188" t="s">
        <v>129</v>
      </c>
      <c r="C21" s="190"/>
      <c r="D21" s="195" t="s">
        <v>130</v>
      </c>
      <c r="E21" s="193" t="s">
        <v>131</v>
      </c>
      <c r="AA21" s="178" t="s">
        <v>131</v>
      </c>
    </row>
    <row r="22" spans="1:27" ht="36" customHeight="1" thickBot="1">
      <c r="A22" s="165"/>
      <c r="B22" s="190" t="s">
        <v>132</v>
      </c>
      <c r="C22" s="190"/>
      <c r="D22" s="195" t="s">
        <v>133</v>
      </c>
      <c r="E22" s="192" t="s">
        <v>134</v>
      </c>
      <c r="AA22" s="178" t="s">
        <v>134</v>
      </c>
    </row>
    <row r="23" spans="1:27" ht="36" customHeight="1" thickBot="1">
      <c r="A23" s="165"/>
      <c r="B23" s="190" t="s">
        <v>135</v>
      </c>
      <c r="C23" s="190"/>
      <c r="D23" s="195" t="s">
        <v>136</v>
      </c>
      <c r="E23" s="192">
        <v>1.5</v>
      </c>
      <c r="AA23" s="178">
        <v>1.5</v>
      </c>
    </row>
    <row r="24" spans="1:27" ht="48" customHeight="1" thickBot="1">
      <c r="A24" s="165"/>
      <c r="B24" s="190" t="s">
        <v>137</v>
      </c>
      <c r="C24" s="190"/>
      <c r="D24" s="195" t="s">
        <v>138</v>
      </c>
      <c r="E24" s="192" t="s">
        <v>139</v>
      </c>
      <c r="AA24" s="203" t="s">
        <v>139</v>
      </c>
    </row>
    <row r="25" spans="1:27" ht="14.4">
      <c r="A25" s="165"/>
      <c r="B25" s="204"/>
      <c r="C25" s="204"/>
      <c r="D25" s="205"/>
      <c r="E25" s="206"/>
    </row>
    <row r="26" spans="1:27" s="179" customFormat="1" ht="28.8">
      <c r="A26" s="183"/>
      <c r="B26" s="183" t="s">
        <v>140</v>
      </c>
      <c r="C26" s="184"/>
      <c r="D26" s="185"/>
      <c r="E26" s="185"/>
    </row>
    <row r="27" spans="1:27" s="187" customFormat="1" ht="32.25" customHeight="1">
      <c r="A27" s="235" t="s">
        <v>141</v>
      </c>
      <c r="B27" s="235"/>
      <c r="C27" s="186"/>
      <c r="D27" s="186" t="s">
        <v>108</v>
      </c>
      <c r="E27" s="186" t="str">
        <f>E8</f>
        <v>Precios 2026</v>
      </c>
      <c r="AA27" s="187" t="s">
        <v>142</v>
      </c>
    </row>
    <row r="28" spans="1:27" ht="36" customHeight="1" thickBot="1">
      <c r="A28" s="165"/>
      <c r="B28" s="207" t="s">
        <v>143</v>
      </c>
      <c r="C28" s="188"/>
      <c r="D28" s="202" t="s">
        <v>144</v>
      </c>
      <c r="E28" s="208" t="s">
        <v>233</v>
      </c>
      <c r="AA28" s="178" t="s">
        <v>145</v>
      </c>
    </row>
    <row r="29" spans="1:27" ht="37.5" customHeight="1" thickBot="1">
      <c r="A29" s="165"/>
      <c r="B29" s="194" t="s">
        <v>146</v>
      </c>
      <c r="C29" s="209"/>
      <c r="D29" s="191" t="s">
        <v>147</v>
      </c>
      <c r="E29" s="210" t="s">
        <v>148</v>
      </c>
      <c r="AA29" s="178" t="s">
        <v>148</v>
      </c>
    </row>
    <row r="30" spans="1:27" ht="48" customHeight="1" thickBot="1">
      <c r="A30" s="165"/>
      <c r="B30" s="207" t="s">
        <v>149</v>
      </c>
      <c r="C30" s="211"/>
      <c r="D30" s="191" t="s">
        <v>150</v>
      </c>
      <c r="E30" s="212" t="s">
        <v>151</v>
      </c>
      <c r="AA30" s="178" t="s">
        <v>151</v>
      </c>
    </row>
    <row r="31" spans="1:27" ht="37.5" customHeight="1" thickBot="1">
      <c r="A31" s="165"/>
      <c r="B31" s="207" t="s">
        <v>152</v>
      </c>
      <c r="C31" s="211"/>
      <c r="D31" s="191" t="s">
        <v>153</v>
      </c>
      <c r="E31" s="212" t="s">
        <v>151</v>
      </c>
      <c r="AA31" s="178" t="s">
        <v>151</v>
      </c>
    </row>
    <row r="32" spans="1:27" ht="27.75" customHeight="1" thickBot="1">
      <c r="A32" s="165"/>
      <c r="B32" s="188" t="s">
        <v>154</v>
      </c>
      <c r="C32" s="213"/>
      <c r="D32" s="195" t="s">
        <v>155</v>
      </c>
      <c r="E32" s="192" t="s">
        <v>139</v>
      </c>
      <c r="AA32" s="178" t="s">
        <v>139</v>
      </c>
    </row>
    <row r="33" spans="1:27" ht="36" customHeight="1" thickBot="1">
      <c r="A33" s="165"/>
      <c r="B33" s="190" t="s">
        <v>156</v>
      </c>
      <c r="C33" s="190"/>
      <c r="D33" s="195" t="s">
        <v>157</v>
      </c>
      <c r="E33" s="192" t="s">
        <v>158</v>
      </c>
      <c r="AA33" s="178" t="s">
        <v>158</v>
      </c>
    </row>
    <row r="34" spans="1:27" ht="36" customHeight="1" thickBot="1">
      <c r="A34" s="165"/>
      <c r="B34" s="190" t="s">
        <v>159</v>
      </c>
      <c r="C34" s="194"/>
      <c r="D34" s="195" t="s">
        <v>160</v>
      </c>
      <c r="E34" s="192" t="s">
        <v>161</v>
      </c>
      <c r="AA34" s="214" t="s">
        <v>161</v>
      </c>
    </row>
    <row r="35" spans="1:27" ht="36" customHeight="1" thickBot="1">
      <c r="A35" s="165"/>
      <c r="B35" s="190" t="s">
        <v>162</v>
      </c>
      <c r="C35" s="194"/>
      <c r="D35" s="195" t="s">
        <v>163</v>
      </c>
      <c r="E35" s="192" t="s">
        <v>164</v>
      </c>
      <c r="AA35" s="178" t="s">
        <v>164</v>
      </c>
    </row>
    <row r="36" spans="1:27" ht="36" customHeight="1" thickBot="1">
      <c r="A36" s="165"/>
      <c r="B36" s="190" t="s">
        <v>165</v>
      </c>
      <c r="C36" s="194"/>
      <c r="D36" s="195" t="s">
        <v>166</v>
      </c>
      <c r="E36" s="192" t="s">
        <v>131</v>
      </c>
      <c r="AA36" s="178" t="s">
        <v>131</v>
      </c>
    </row>
    <row r="37" spans="1:27" ht="36" customHeight="1" thickBot="1">
      <c r="A37" s="165"/>
      <c r="B37" s="190" t="s">
        <v>167</v>
      </c>
      <c r="C37" s="194"/>
      <c r="D37" s="195" t="s">
        <v>168</v>
      </c>
      <c r="E37" s="192" t="s">
        <v>169</v>
      </c>
      <c r="AA37" s="178" t="s">
        <v>169</v>
      </c>
    </row>
    <row r="38" spans="1:27" ht="36" customHeight="1" thickBot="1">
      <c r="A38" s="165"/>
      <c r="B38" s="190" t="s">
        <v>170</v>
      </c>
      <c r="C38" s="194"/>
      <c r="D38" s="195" t="s">
        <v>171</v>
      </c>
      <c r="E38" s="192" t="s">
        <v>172</v>
      </c>
      <c r="AA38" s="178" t="s">
        <v>172</v>
      </c>
    </row>
    <row r="39" spans="1:27" ht="36" customHeight="1" thickBot="1">
      <c r="A39" s="165"/>
      <c r="B39" s="190" t="s">
        <v>173</v>
      </c>
      <c r="C39" s="188"/>
      <c r="D39" s="191" t="s">
        <v>174</v>
      </c>
      <c r="E39" s="192" t="s">
        <v>236</v>
      </c>
      <c r="AA39" s="178" t="s">
        <v>175</v>
      </c>
    </row>
    <row r="40" spans="1:27" ht="15" customHeight="1">
      <c r="A40" s="165"/>
      <c r="B40" s="204" t="s">
        <v>176</v>
      </c>
      <c r="C40" s="204"/>
      <c r="D40" s="178"/>
      <c r="E40" s="215"/>
    </row>
    <row r="41" spans="1:27" ht="15" customHeight="1">
      <c r="A41" s="206"/>
      <c r="B41" s="165" t="s">
        <v>177</v>
      </c>
      <c r="C41" s="206"/>
      <c r="D41" s="178"/>
      <c r="E41" s="206"/>
    </row>
    <row r="42" spans="1:27" ht="15" customHeight="1">
      <c r="A42" s="206"/>
      <c r="B42" s="165" t="s">
        <v>178</v>
      </c>
      <c r="C42" s="206"/>
      <c r="D42" s="178"/>
      <c r="E42" s="206"/>
    </row>
    <row r="43" spans="1:27">
      <c r="A43" s="216"/>
      <c r="B43" s="216"/>
      <c r="C43" s="216"/>
      <c r="D43" s="216"/>
      <c r="E43" s="216"/>
    </row>
    <row r="44" spans="1:27">
      <c r="A44" s="216"/>
      <c r="B44" s="216"/>
      <c r="C44" s="216"/>
      <c r="D44" s="216"/>
      <c r="E44" s="216"/>
    </row>
    <row r="45" spans="1:27">
      <c r="A45" s="216"/>
      <c r="B45" s="216"/>
      <c r="C45" s="216"/>
      <c r="D45" s="216"/>
      <c r="E45" s="216"/>
    </row>
    <row r="46" spans="1:27">
      <c r="A46" s="216"/>
      <c r="B46" s="216"/>
      <c r="C46" s="216"/>
      <c r="D46" s="216"/>
      <c r="E46" s="216"/>
    </row>
    <row r="47" spans="1:27">
      <c r="A47" s="216"/>
      <c r="B47" s="216"/>
      <c r="C47" s="216"/>
      <c r="D47" s="216"/>
      <c r="E47" s="216"/>
    </row>
    <row r="48" spans="1:27">
      <c r="A48" s="216"/>
      <c r="B48" s="216"/>
      <c r="C48" s="216"/>
      <c r="D48" s="216"/>
      <c r="E48" s="216"/>
    </row>
    <row r="49" spans="1:5">
      <c r="A49" s="216"/>
      <c r="B49" s="216"/>
      <c r="C49" s="216"/>
      <c r="D49" s="216"/>
      <c r="E49" s="216"/>
    </row>
    <row r="50" spans="1:5">
      <c r="A50" s="216"/>
      <c r="B50" s="216"/>
      <c r="C50" s="216"/>
      <c r="D50" s="216"/>
      <c r="E50" s="216"/>
    </row>
    <row r="51" spans="1:5">
      <c r="A51" s="216"/>
      <c r="B51" s="216"/>
      <c r="C51" s="216"/>
      <c r="D51" s="216"/>
      <c r="E51" s="216"/>
    </row>
    <row r="52" spans="1:5">
      <c r="A52" s="216"/>
      <c r="B52" s="216"/>
      <c r="C52" s="216"/>
      <c r="D52" s="216"/>
      <c r="E52" s="216"/>
    </row>
    <row r="53" spans="1:5">
      <c r="A53" s="216"/>
      <c r="B53" s="216"/>
      <c r="C53" s="216"/>
      <c r="D53" s="216"/>
      <c r="E53" s="216"/>
    </row>
    <row r="54" spans="1:5">
      <c r="A54" s="216"/>
      <c r="B54" s="216"/>
      <c r="C54" s="216"/>
      <c r="D54" s="216"/>
      <c r="E54" s="216"/>
    </row>
    <row r="55" spans="1:5">
      <c r="A55" s="216"/>
      <c r="B55" s="216"/>
      <c r="C55" s="216"/>
      <c r="D55" s="216"/>
      <c r="E55" s="216"/>
    </row>
    <row r="56" spans="1:5">
      <c r="A56" s="216"/>
      <c r="B56" s="216"/>
      <c r="C56" s="216"/>
      <c r="D56" s="216"/>
      <c r="E56" s="216"/>
    </row>
    <row r="57" spans="1:5">
      <c r="A57" s="216"/>
      <c r="B57" s="216"/>
      <c r="C57" s="216"/>
      <c r="D57" s="216"/>
      <c r="E57" s="216"/>
    </row>
    <row r="58" spans="1:5">
      <c r="A58" s="216"/>
      <c r="B58" s="216"/>
      <c r="C58" s="216"/>
      <c r="D58" s="216"/>
      <c r="E58" s="216"/>
    </row>
    <row r="59" spans="1:5">
      <c r="A59" s="216"/>
      <c r="B59" s="216"/>
      <c r="C59" s="216"/>
      <c r="D59" s="216"/>
      <c r="E59" s="216"/>
    </row>
    <row r="60" spans="1:5">
      <c r="A60" s="216"/>
      <c r="B60" s="216"/>
      <c r="C60" s="216"/>
      <c r="D60" s="216"/>
      <c r="E60" s="216"/>
    </row>
    <row r="61" spans="1:5">
      <c r="A61" s="216"/>
      <c r="B61" s="216"/>
      <c r="C61" s="216"/>
      <c r="D61" s="216"/>
      <c r="E61" s="216"/>
    </row>
    <row r="62" spans="1:5">
      <c r="A62" s="216"/>
      <c r="B62" s="216"/>
      <c r="C62" s="216"/>
      <c r="D62" s="216"/>
      <c r="E62" s="216"/>
    </row>
    <row r="63" spans="1:5">
      <c r="A63" s="216"/>
      <c r="B63" s="216"/>
      <c r="C63" s="216"/>
      <c r="D63" s="216"/>
      <c r="E63" s="216"/>
    </row>
    <row r="64" spans="1:5">
      <c r="A64" s="216"/>
      <c r="B64" s="216"/>
      <c r="C64" s="216"/>
      <c r="D64" s="216"/>
      <c r="E64" s="216"/>
    </row>
    <row r="65" spans="1:5">
      <c r="A65" s="216"/>
      <c r="B65" s="216"/>
      <c r="C65" s="216"/>
      <c r="D65" s="216"/>
      <c r="E65" s="216"/>
    </row>
    <row r="66" spans="1:5">
      <c r="A66" s="216"/>
      <c r="B66" s="216"/>
      <c r="C66" s="216"/>
      <c r="D66" s="216"/>
      <c r="E66" s="216"/>
    </row>
    <row r="67" spans="1:5">
      <c r="A67" s="216"/>
      <c r="B67" s="216"/>
      <c r="C67" s="216"/>
      <c r="D67" s="216"/>
      <c r="E67" s="216"/>
    </row>
    <row r="68" spans="1:5">
      <c r="A68" s="216"/>
      <c r="B68" s="216"/>
      <c r="C68" s="216"/>
      <c r="D68" s="216"/>
      <c r="E68" s="216"/>
    </row>
    <row r="69" spans="1:5">
      <c r="A69" s="216"/>
      <c r="B69" s="216"/>
      <c r="C69" s="216"/>
      <c r="D69" s="216"/>
      <c r="E69" s="216"/>
    </row>
    <row r="70" spans="1:5">
      <c r="A70" s="216"/>
      <c r="B70" s="216"/>
      <c r="C70" s="216"/>
      <c r="D70" s="216"/>
      <c r="E70" s="216"/>
    </row>
    <row r="71" spans="1:5">
      <c r="A71" s="216"/>
      <c r="B71" s="216"/>
      <c r="C71" s="216"/>
      <c r="D71" s="216"/>
      <c r="E71" s="216"/>
    </row>
    <row r="72" spans="1:5">
      <c r="A72" s="216"/>
      <c r="B72" s="216"/>
      <c r="C72" s="216"/>
      <c r="D72" s="216"/>
      <c r="E72" s="216"/>
    </row>
    <row r="73" spans="1:5">
      <c r="A73" s="216"/>
      <c r="B73" s="216"/>
      <c r="C73" s="216"/>
      <c r="D73" s="216"/>
      <c r="E73" s="216"/>
    </row>
    <row r="74" spans="1:5">
      <c r="A74" s="216"/>
      <c r="B74" s="216"/>
      <c r="C74" s="216"/>
      <c r="D74" s="216"/>
      <c r="E74" s="216"/>
    </row>
    <row r="75" spans="1:5">
      <c r="A75" s="216"/>
      <c r="B75" s="216"/>
      <c r="C75" s="216"/>
      <c r="D75" s="216"/>
      <c r="E75" s="216"/>
    </row>
    <row r="76" spans="1:5">
      <c r="A76" s="216"/>
      <c r="B76" s="216"/>
      <c r="C76" s="216"/>
      <c r="D76" s="216"/>
      <c r="E76" s="216"/>
    </row>
    <row r="77" spans="1:5">
      <c r="A77" s="216"/>
      <c r="B77" s="216"/>
      <c r="C77" s="216"/>
      <c r="D77" s="216"/>
      <c r="E77" s="216"/>
    </row>
    <row r="78" spans="1:5">
      <c r="A78" s="216"/>
      <c r="B78" s="216"/>
      <c r="C78" s="216"/>
      <c r="D78" s="216"/>
      <c r="E78" s="216"/>
    </row>
    <row r="79" spans="1:5">
      <c r="A79" s="216"/>
      <c r="B79" s="216"/>
      <c r="C79" s="216"/>
      <c r="D79" s="216"/>
      <c r="E79" s="216"/>
    </row>
    <row r="80" spans="1:5">
      <c r="A80" s="216"/>
      <c r="B80" s="216"/>
      <c r="C80" s="216"/>
      <c r="D80" s="216"/>
      <c r="E80" s="216"/>
    </row>
    <row r="81" spans="1:5">
      <c r="A81" s="216"/>
      <c r="B81" s="216"/>
      <c r="C81" s="216"/>
      <c r="D81" s="216"/>
      <c r="E81" s="216"/>
    </row>
    <row r="82" spans="1:5">
      <c r="A82" s="216"/>
      <c r="B82" s="216"/>
      <c r="C82" s="216"/>
      <c r="D82" s="216"/>
      <c r="E82" s="216"/>
    </row>
    <row r="83" spans="1:5">
      <c r="A83" s="216"/>
      <c r="B83" s="216"/>
      <c r="C83" s="216"/>
      <c r="D83" s="216"/>
      <c r="E83" s="216"/>
    </row>
    <row r="84" spans="1:5">
      <c r="A84" s="216"/>
      <c r="B84" s="216"/>
      <c r="C84" s="216"/>
      <c r="D84" s="216"/>
      <c r="E84" s="216"/>
    </row>
    <row r="85" spans="1:5">
      <c r="A85" s="216"/>
      <c r="B85" s="216"/>
      <c r="C85" s="216"/>
      <c r="D85" s="216"/>
      <c r="E85" s="216"/>
    </row>
    <row r="86" spans="1:5">
      <c r="A86" s="216"/>
      <c r="B86" s="216"/>
      <c r="C86" s="216"/>
      <c r="D86" s="216"/>
      <c r="E86" s="216"/>
    </row>
    <row r="87" spans="1:5">
      <c r="A87" s="216"/>
      <c r="B87" s="216"/>
      <c r="C87" s="216"/>
      <c r="D87" s="216"/>
      <c r="E87" s="216"/>
    </row>
    <row r="88" spans="1:5">
      <c r="A88" s="216"/>
      <c r="B88" s="216"/>
      <c r="C88" s="216"/>
      <c r="D88" s="216"/>
      <c r="E88" s="216"/>
    </row>
    <row r="89" spans="1:5">
      <c r="A89" s="216"/>
      <c r="B89" s="216"/>
      <c r="C89" s="216"/>
      <c r="D89" s="216"/>
      <c r="E89" s="216"/>
    </row>
    <row r="90" spans="1:5">
      <c r="A90" s="216"/>
      <c r="B90" s="216"/>
      <c r="C90" s="216"/>
      <c r="D90" s="216"/>
      <c r="E90" s="216"/>
    </row>
    <row r="91" spans="1:5">
      <c r="A91" s="216"/>
      <c r="B91" s="216"/>
      <c r="C91" s="216"/>
      <c r="D91" s="216"/>
      <c r="E91" s="216"/>
    </row>
    <row r="92" spans="1:5">
      <c r="A92" s="216"/>
      <c r="B92" s="216"/>
      <c r="C92" s="216"/>
      <c r="D92" s="216"/>
      <c r="E92" s="216"/>
    </row>
    <row r="93" spans="1:5">
      <c r="A93" s="216"/>
      <c r="B93" s="216"/>
      <c r="C93" s="216"/>
      <c r="D93" s="216"/>
      <c r="E93" s="216"/>
    </row>
    <row r="94" spans="1:5">
      <c r="A94" s="216"/>
      <c r="B94" s="216"/>
      <c r="C94" s="216"/>
      <c r="D94" s="216"/>
      <c r="E94" s="216"/>
    </row>
    <row r="95" spans="1:5">
      <c r="A95" s="216"/>
      <c r="B95" s="216"/>
      <c r="C95" s="216"/>
      <c r="D95" s="216"/>
      <c r="E95" s="216"/>
    </row>
    <row r="96" spans="1:5">
      <c r="A96" s="216"/>
      <c r="B96" s="216"/>
      <c r="C96" s="216"/>
      <c r="D96" s="216"/>
      <c r="E96" s="216"/>
    </row>
    <row r="97" spans="1:5">
      <c r="A97" s="216"/>
      <c r="B97" s="216"/>
      <c r="C97" s="216"/>
      <c r="D97" s="216"/>
      <c r="E97" s="216"/>
    </row>
    <row r="98" spans="1:5">
      <c r="A98" s="216"/>
      <c r="B98" s="216"/>
      <c r="C98" s="216"/>
      <c r="D98" s="216"/>
    </row>
    <row r="99" spans="1:5">
      <c r="A99" s="216"/>
      <c r="B99" s="216"/>
      <c r="C99" s="216"/>
      <c r="D99" s="216"/>
    </row>
    <row r="100" spans="1:5">
      <c r="A100" s="216"/>
      <c r="B100" s="216"/>
      <c r="C100" s="216"/>
      <c r="D100" s="216"/>
    </row>
    <row r="101" spans="1:5">
      <c r="A101" s="216"/>
      <c r="B101" s="216"/>
      <c r="C101" s="216"/>
      <c r="D101" s="216"/>
    </row>
    <row r="102" spans="1:5">
      <c r="A102" s="216"/>
      <c r="B102" s="216"/>
      <c r="C102" s="216"/>
      <c r="D102" s="216"/>
    </row>
    <row r="103" spans="1:5">
      <c r="A103" s="216"/>
      <c r="B103" s="216"/>
      <c r="C103" s="216"/>
      <c r="D103" s="216"/>
    </row>
    <row r="104" spans="1:5">
      <c r="A104" s="216"/>
      <c r="B104" s="216"/>
      <c r="C104" s="216"/>
      <c r="D104" s="216"/>
    </row>
    <row r="105" spans="1:5">
      <c r="A105" s="216"/>
      <c r="B105" s="216"/>
      <c r="C105" s="216"/>
      <c r="D105" s="216"/>
    </row>
    <row r="106" spans="1:5">
      <c r="A106" s="216"/>
      <c r="B106" s="216"/>
      <c r="C106" s="216"/>
      <c r="D106" s="216"/>
    </row>
    <row r="107" spans="1:5">
      <c r="A107" s="216"/>
      <c r="B107" s="216"/>
      <c r="C107" s="216"/>
      <c r="D107" s="216"/>
    </row>
    <row r="108" spans="1:5">
      <c r="A108" s="218"/>
      <c r="E108" s="219"/>
    </row>
    <row r="109" spans="1:5">
      <c r="A109" s="218"/>
      <c r="E109" s="219"/>
    </row>
    <row r="110" spans="1:5">
      <c r="A110" s="216"/>
      <c r="B110" s="216"/>
      <c r="C110" s="216"/>
      <c r="D110" s="216"/>
    </row>
    <row r="111" spans="1:5">
      <c r="A111" s="216"/>
      <c r="B111" s="216"/>
      <c r="C111" s="216"/>
      <c r="D111" s="216"/>
    </row>
    <row r="112" spans="1:5">
      <c r="A112" s="217"/>
      <c r="B112" s="216"/>
      <c r="C112" s="216"/>
      <c r="D112" s="216"/>
    </row>
    <row r="113" spans="1:4">
      <c r="A113" s="217"/>
      <c r="B113" s="216"/>
      <c r="C113" s="216"/>
      <c r="D113" s="216"/>
    </row>
  </sheetData>
  <mergeCells count="7">
    <mergeCell ref="A27:B27"/>
    <mergeCell ref="A8:B8"/>
    <mergeCell ref="B9:B11"/>
    <mergeCell ref="D9:D11"/>
    <mergeCell ref="B12:B14"/>
    <mergeCell ref="B16:B19"/>
    <mergeCell ref="D16:D19"/>
  </mergeCells>
  <conditionalFormatting sqref="E9:E24">
    <cfRule type="cellIs" dxfId="2" priority="1" operator="notEqual">
      <formula>AA9</formula>
    </cfRule>
  </conditionalFormatting>
  <conditionalFormatting sqref="E28:E39">
    <cfRule type="cellIs" dxfId="1" priority="4" operator="notEqual">
      <formula>AA28</formula>
    </cfRule>
  </conditionalFormatting>
  <conditionalFormatting sqref="E31:E32">
    <cfRule type="cellIs" dxfId="0" priority="5" operator="notEqual"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9" scale="51" orientation="portrait" r:id="rId1"/>
  <headerFooter>
    <oddFooter>&amp;C&amp;10Página &amp;P de &amp;N</oddFooter>
  </headerFooter>
  <drawing r:id="rId2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Portada</vt:lpstr>
      <vt:lpstr>CONDICIONES ESPECIALES</vt:lpstr>
      <vt:lpstr>VAS_B2BD</vt:lpstr>
      <vt:lpstr>'CONDICIONES ESPECIALES'!Área_de_impresión</vt:lpstr>
      <vt:lpstr>Portada!Área_de_impresión</vt:lpstr>
      <vt:lpstr>VAS_B2BD!Área_de_impresión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Terron (DHL eCom ES)</dc:creator>
  <cp:lastModifiedBy>Alfonso Perez Guerra</cp:lastModifiedBy>
  <dcterms:created xsi:type="dcterms:W3CDTF">2025-11-28T15:02:24Z</dcterms:created>
  <dcterms:modified xsi:type="dcterms:W3CDTF">2026-06-26T12:03:16Z</dcterms:modified>
</cp:coreProperties>
</file>