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/>
  <mc:AlternateContent xmlns:mc="http://schemas.openxmlformats.org/markup-compatibility/2006">
    <mc:Choice Requires="x15">
      <x15ac:absPath xmlns:x15ac="http://schemas.microsoft.com/office/spreadsheetml/2010/11/ac" url="https://dpdhl-my.sharepoint.com/personal/c_terron_dhl_com/Documents/Mis documentos D/TARIFAS CLIENTES 2026/"/>
    </mc:Choice>
  </mc:AlternateContent>
  <xr:revisionPtr revIDLastSave="4" documentId="8_{1C433347-84D1-4D66-B537-91500520C85A}" xr6:coauthVersionLast="47" xr6:coauthVersionMax="47" xr10:uidLastSave="{A6D06CAB-D8E7-46D3-9738-EB866F519639}"/>
  <bookViews>
    <workbookView xWindow="-120" yWindow="-120" windowWidth="24240" windowHeight="13020" xr2:uid="{82E9217A-F5D1-4DCA-B6D0-921F328688C0}"/>
  </bookViews>
  <sheets>
    <sheet name="Portada" sheetId="1" r:id="rId1"/>
    <sheet name="DHL_ConnectPlus_Especial" sheetId="2" r:id="rId2"/>
    <sheet name="VAS_B2BI" sheetId="3" r:id="rId3"/>
  </sheets>
  <definedNames>
    <definedName name="ANDALUCIA" localSheetId="0">#REF!</definedName>
    <definedName name="ANDALUCIA">#REF!</definedName>
    <definedName name="B" localSheetId="0">#REF!</definedName>
    <definedName name="B">#REF!</definedName>
    <definedName name="BAL" localSheetId="0">#REF!</definedName>
    <definedName name="BAL">#REF!</definedName>
    <definedName name="BEN" localSheetId="0">#REF!</definedName>
    <definedName name="BEN">#REF!</definedName>
    <definedName name="CL" localSheetId="0">#REF!</definedName>
    <definedName name="CL">#REF!</definedName>
    <definedName name="compe" localSheetId="0">#REF!</definedName>
    <definedName name="compe">#REF!</definedName>
    <definedName name="Competencia" localSheetId="1">#REF!</definedName>
    <definedName name="Competencia" localSheetId="0">#REF!</definedName>
    <definedName name="Competencia">#REF!</definedName>
    <definedName name="CONTRACT">#REF!</definedName>
    <definedName name="ContractCodeDOM">#REF!</definedName>
    <definedName name="ContractCodeIB">#REF!</definedName>
    <definedName name="ContractCodeOB">#REF!</definedName>
    <definedName name="ContractCodeTDDIB">#REF!</definedName>
    <definedName name="ContractCodeTDDOB">#REF!</definedName>
    <definedName name="contractslookup">#REF!</definedName>
    <definedName name="Country">#REF!</definedName>
    <definedName name="Countryname" localSheetId="0">#REF!</definedName>
    <definedName name="Countryname">#REF!</definedName>
    <definedName name="Currency" localSheetId="0">#REF!</definedName>
    <definedName name="Currency">#REF!</definedName>
    <definedName name="Currencyname" localSheetId="0">#REF!</definedName>
    <definedName name="Currencyname">#REF!</definedName>
    <definedName name="Customer_name" localSheetId="0">#REF!</definedName>
    <definedName name="Customer_name">#REF!</definedName>
    <definedName name="Day_Definite_Value_Added_Services_and_Surcharges" localSheetId="0">#REF!</definedName>
    <definedName name="Day_Definite_Value_Added_Services_and_Surcharges">#REF!</definedName>
    <definedName name="DDDOMCONTRACTS" localSheetId="0">#REF!</definedName>
    <definedName name="DDDOMCONTRACTS">#REF!</definedName>
    <definedName name="DDDOMVOLUMETRIC" localSheetId="0">#REF!</definedName>
    <definedName name="DDDOMVOLUMETRIC">#REF!</definedName>
    <definedName name="DDDOMZONING">#REF!</definedName>
    <definedName name="DDINTCONTRACTS">#REF!</definedName>
    <definedName name="DDINTVOLUMETRIC">#REF!</definedName>
    <definedName name="DDINTZONING">#REF!</definedName>
    <definedName name="ecxrates" localSheetId="1">#REF!</definedName>
    <definedName name="ecxrates">#REF!</definedName>
    <definedName name="EU">#REF!</definedName>
    <definedName name="EUR">#REF!</definedName>
    <definedName name="Europlus_DOM">#REF!</definedName>
    <definedName name="Europlus_INT">#REF!</definedName>
    <definedName name="Europlus_International">#REF!</definedName>
    <definedName name="Expresser_Benelux_Pallet" localSheetId="0">#REF!</definedName>
    <definedName name="Expresser_Benelux_Pallet">#REF!</definedName>
    <definedName name="Expresser_Benelux_Parcel" localSheetId="0">#REF!</definedName>
    <definedName name="Expresser_Benelux_Parcel">#REF!</definedName>
    <definedName name="I" localSheetId="0">#REF!</definedName>
    <definedName name="I">#REF!</definedName>
    <definedName name="ImportExpress12TC" localSheetId="0">#REF!</definedName>
    <definedName name="ImportExpress12TC">#REF!</definedName>
    <definedName name="ImportExpress12TCDiscount" localSheetId="0">#REF!</definedName>
    <definedName name="ImportExpress12TCDiscount">#REF!</definedName>
    <definedName name="IN" localSheetId="0">#REF!</definedName>
    <definedName name="IN">#REF!</definedName>
    <definedName name="MON" localSheetId="0">#REF!</definedName>
    <definedName name="MON">#REF!</definedName>
    <definedName name="MSP_Comparison" localSheetId="0">#REF!</definedName>
    <definedName name="MSP_Comparison">#REF!</definedName>
    <definedName name="NO" localSheetId="0">#REF!</definedName>
    <definedName name="NO">#REF!</definedName>
    <definedName name="PAIS">#REF!</definedName>
    <definedName name="Pickup_Location">#REF!</definedName>
    <definedName name="_xlnm.Print_Area" localSheetId="1">DHL_ConnectPlus_Especial!$F$1:$V$83</definedName>
    <definedName name="_xlnm.Print_Area" localSheetId="0">Portada!$A$1:$L$82</definedName>
    <definedName name="_xlnm.Print_Area" localSheetId="2">VAS_B2BI!$A$1:$E$32</definedName>
    <definedName name="_xlnm.Print_Titles" localSheetId="1">DHL_ConnectPlus_Especial!$3:$7</definedName>
    <definedName name="Printing" localSheetId="0">#REF!</definedName>
    <definedName name="Printing">#REF!</definedName>
    <definedName name="Productline" localSheetId="0">#REF!</definedName>
    <definedName name="Productline">#REF!</definedName>
    <definedName name="tariff" localSheetId="1">#REF!</definedName>
    <definedName name="tariff" localSheetId="0">#REF!</definedName>
    <definedName name="tariff">#REF!</definedName>
    <definedName name="Tariff_Expiry_Date" localSheetId="0">#REF!</definedName>
    <definedName name="Tariff_Expiry_Date">#REF!</definedName>
    <definedName name="TDD" localSheetId="0">#REF!</definedName>
    <definedName name="TDD">#REF!</definedName>
    <definedName name="tdd12premiums" localSheetId="0">#REF!</definedName>
    <definedName name="tdd12premiums">#REF!</definedName>
    <definedName name="tdd9premiums" localSheetId="0">#REF!</definedName>
    <definedName name="tdd9premiums">#REF!</definedName>
    <definedName name="TDDD">#REF!</definedName>
    <definedName name="TDDOMADDER" localSheetId="0">#REF!</definedName>
    <definedName name="TDDOMADDER">#REF!</definedName>
    <definedName name="TDDOMCONTRACTS" localSheetId="0">#REF!</definedName>
    <definedName name="TDDOMCONTRACTS">#REF!</definedName>
    <definedName name="TDDOMVOLUMETRIC" localSheetId="0">#REF!</definedName>
    <definedName name="TDDOMVOLUMETRIC">#REF!</definedName>
    <definedName name="TDDOMZONING" localSheetId="0">#REF!</definedName>
    <definedName name="TDDOMZONING">#REF!</definedName>
    <definedName name="TDINTADDER" localSheetId="0">#REF!</definedName>
    <definedName name="TDINTADDER">#REF!</definedName>
    <definedName name="TDINTCONTRACTS" localSheetId="0">#REF!</definedName>
    <definedName name="TDINTCONTRACTS">#REF!</definedName>
    <definedName name="TDINTVOLUMETRIC">#REF!</definedName>
    <definedName name="TDINTZONING">#REF!</definedName>
    <definedName name="WEIGHTBREAKSLOOKUP" localSheetId="0">#REF!</definedName>
    <definedName name="WEIGHTBREAKSLOOKUP">#REF!</definedName>
    <definedName name="ZONAS" localSheetId="0">#REF!</definedName>
    <definedName name="ZONAS">#REF!</definedName>
    <definedName name="ZONING_DDDOM" localSheetId="0">#REF!</definedName>
    <definedName name="ZONING_DDDOM">#REF!</definedName>
    <definedName name="ZONING_DDINT" localSheetId="0">#REF!</definedName>
    <definedName name="ZONING_DDINT">#REF!</definedName>
    <definedName name="ZONING_TDDOM" localSheetId="0">#REF!</definedName>
    <definedName name="ZONING_TDDOM">#REF!</definedName>
    <definedName name="ZONING_TDINT" localSheetId="0">#REF!</definedName>
    <definedName name="ZONING_TDINT">#REF!</definedName>
    <definedName name="ZONINGLOOKUP" localSheetId="0">#REF!</definedName>
    <definedName name="ZONINGLOOKUP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8" i="3" l="1"/>
  <c r="C17" i="2"/>
  <c r="D12" i="2"/>
  <c r="D11" i="2" l="1"/>
  <c r="C14" i="2" s="1"/>
  <c r="D18" i="2"/>
  <c r="C18" i="2" s="1"/>
</calcChain>
</file>

<file path=xl/sharedStrings.xml><?xml version="1.0" encoding="utf-8"?>
<sst xmlns="http://schemas.openxmlformats.org/spreadsheetml/2006/main" count="716" uniqueCount="473">
  <si>
    <t>DIMENSIONES 
(Largo, Ancho, Alto)</t>
  </si>
  <si>
    <t>Min.: 15cm, 11cm, 3,5cm</t>
  </si>
  <si>
    <t>Máx. bulto encintable: 120cm, 60cm, 60cm</t>
  </si>
  <si>
    <r>
      <t>Máx. bulto no encintable</t>
    </r>
    <r>
      <rPr>
        <vertAlign val="superscript"/>
        <sz val="10"/>
        <rFont val="Calibri"/>
        <family val="2"/>
        <scheme val="minor"/>
      </rPr>
      <t>1</t>
    </r>
    <r>
      <rPr>
        <sz val="10"/>
        <rFont val="Calibri"/>
        <family val="2"/>
        <scheme val="minor"/>
      </rPr>
      <t>: 200cm, 120cm, 80cm</t>
    </r>
  </si>
  <si>
    <t>Máx. palet: 120cm, 100cm, 200cm</t>
  </si>
  <si>
    <t>PESO MÁXIMO</t>
  </si>
  <si>
    <t>Hasta 31,5 kgs para bultos no paletizados</t>
  </si>
  <si>
    <r>
      <t xml:space="preserve">Hasta 1000 kgs para bultos paletizados </t>
    </r>
    <r>
      <rPr>
        <vertAlign val="superscript"/>
        <sz val="10"/>
        <rFont val="Calibri"/>
        <family val="2"/>
        <scheme val="minor"/>
      </rPr>
      <t>2</t>
    </r>
  </si>
  <si>
    <t>Hasta 2.500 kgs por envío</t>
  </si>
  <si>
    <t>BULTOS POR ENVIO</t>
  </si>
  <si>
    <t>Máx.: 999 bultos encintables por envío</t>
  </si>
  <si>
    <t>Máx.: 5 palets por envío</t>
  </si>
  <si>
    <r>
      <t>MERCANCIA VOLUMINOSA</t>
    </r>
    <r>
      <rPr>
        <b/>
        <vertAlign val="superscript"/>
        <sz val="10"/>
        <rFont val="Calibri"/>
        <family val="2"/>
        <scheme val="minor"/>
      </rPr>
      <t xml:space="preserve"> 3</t>
    </r>
  </si>
  <si>
    <t>Se considera mercancia voluminosa y es facturada como tal, aquella que no supera el ratio de 200 kilogramos por metro cúbico.</t>
  </si>
  <si>
    <r>
      <rPr>
        <vertAlign val="superscript"/>
        <sz val="8"/>
        <rFont val="Calibri"/>
        <family val="2"/>
        <scheme val="minor"/>
      </rPr>
      <t>1</t>
    </r>
    <r>
      <rPr>
        <sz val="8"/>
        <rFont val="Calibri"/>
        <family val="2"/>
        <scheme val="minor"/>
      </rPr>
      <t xml:space="preserve"> Límite de la suma de medidas (en cm) para bulto no encintable: 360 (Largo + 2xAncho + 2xAlto)</t>
    </r>
  </si>
  <si>
    <r>
      <rPr>
        <vertAlign val="superscript"/>
        <sz val="8"/>
        <rFont val="Calibri"/>
        <family val="2"/>
        <scheme val="minor"/>
      </rPr>
      <t xml:space="preserve">2 </t>
    </r>
    <r>
      <rPr>
        <sz val="8"/>
        <rFont val="Calibri"/>
        <family val="2"/>
        <scheme val="minor"/>
      </rPr>
      <t xml:space="preserve"> Los bultos que pesen más de 31,5 kg deben ser embalados en un contenedor que se pueda mover con medios mecánicos o estar paletizados y deben ser apilables.</t>
    </r>
  </si>
  <si>
    <t xml:space="preserve">    Para CZ, SE y DE el límite de peso por pallet es de 800kg .</t>
  </si>
  <si>
    <r>
      <rPr>
        <vertAlign val="superscript"/>
        <sz val="8"/>
        <rFont val="Calibri"/>
        <family val="2"/>
        <scheme val="minor"/>
      </rPr>
      <t>3</t>
    </r>
    <r>
      <rPr>
        <sz val="8"/>
        <rFont val="Calibri"/>
        <family val="2"/>
        <scheme val="minor"/>
      </rPr>
      <t xml:space="preserve"> Para calcular el peso volumétrico, utilice la fórmula siguiente: largo x ancho x alto (m</t>
    </r>
    <r>
      <rPr>
        <vertAlign val="superscript"/>
        <sz val="8"/>
        <rFont val="Calibri"/>
        <family val="2"/>
        <scheme val="minor"/>
      </rPr>
      <t>3</t>
    </r>
    <r>
      <rPr>
        <sz val="8"/>
        <rFont val="Calibri"/>
        <family val="2"/>
        <scheme val="minor"/>
      </rPr>
      <t>) * Ratio Volumétrico  = Peso Volumétrico (kg)</t>
    </r>
  </si>
  <si>
    <t xml:space="preserve">Factura comercial por duplicado que deberá acompañar al envío en sobres “Packing List” o “Contiene Documentación”.  Especificar  claramente </t>
  </si>
  <si>
    <t xml:space="preserve">todos los datos fiscales del remitente y el consignatario, así como el incoterm, descripción, valor y moneda de la mercancía. Estos últimos datos </t>
  </si>
  <si>
    <t>deberán constar, asimismo, en la documentación informática del envío.</t>
  </si>
  <si>
    <t xml:space="preserve">Dependiendo del Inconterm con el que se documenten estos envíos, durante el proceso aduanero podrán generarse cargos adicionales para los </t>
  </si>
  <si>
    <t xml:space="preserve">destinatarios además de los recogidos en nuestras tarifas, tales como la declaración aduanera de importación, declaración de partidas múltiples, </t>
  </si>
  <si>
    <t>almacenaje, notificación o entrega al agente de aduana de su elección, etc.</t>
  </si>
  <si>
    <t>DHL PARCEL CONNECT PLUS</t>
  </si>
  <si>
    <t>OFERTA ECONÓMICA</t>
  </si>
  <si>
    <t>www.dhlecommerce.es</t>
  </si>
  <si>
    <t>DATOS GENERALES CLIENTE</t>
  </si>
  <si>
    <t>Provincia:</t>
  </si>
  <si>
    <r>
      <t xml:space="preserve">Atención al Cliente: </t>
    </r>
    <r>
      <rPr>
        <b/>
        <sz val="12"/>
        <color indexed="10"/>
        <rFont val="Calibri"/>
        <family val="2"/>
        <scheme val="minor"/>
      </rPr>
      <t>902 12 30 30</t>
    </r>
  </si>
  <si>
    <t>Nombre del Cliente:</t>
  </si>
  <si>
    <t>Número de cuenta:</t>
  </si>
  <si>
    <t>DHL PARCEL CONNECT PLUS Export/Import</t>
  </si>
  <si>
    <t xml:space="preserve">DHL PARCEL CONNECT PLUS </t>
  </si>
  <si>
    <t>DHL PARCEL CONNECT PLUS Export</t>
  </si>
  <si>
    <t>Banda peso</t>
  </si>
  <si>
    <t>Peso</t>
  </si>
  <si>
    <t>zona</t>
  </si>
  <si>
    <t>columna</t>
  </si>
  <si>
    <t>DHL PARCEL CONNECT PLUS Import</t>
  </si>
  <si>
    <t>Alemania</t>
  </si>
  <si>
    <t>CALCULA PRECIO</t>
  </si>
  <si>
    <t>Kgs</t>
  </si>
  <si>
    <t>Zona 1</t>
  </si>
  <si>
    <t>Zona 2</t>
  </si>
  <si>
    <t>Zona 3</t>
  </si>
  <si>
    <t>Zona 4</t>
  </si>
  <si>
    <t>Zona 5</t>
  </si>
  <si>
    <t>País</t>
  </si>
  <si>
    <t>Cód. País</t>
  </si>
  <si>
    <t>Zona</t>
  </si>
  <si>
    <t>Austria</t>
  </si>
  <si>
    <t>DE</t>
  </si>
  <si>
    <t>Bélgica</t>
  </si>
  <si>
    <t>Elegir País ó Zona</t>
  </si>
  <si>
    <t>AT</t>
  </si>
  <si>
    <t>Bulgaria</t>
  </si>
  <si>
    <t>Banda de Peso :</t>
  </si>
  <si>
    <t>BE</t>
  </si>
  <si>
    <t>Croacia</t>
  </si>
  <si>
    <t>BG</t>
  </si>
  <si>
    <t>Dinamarca</t>
  </si>
  <si>
    <t>Importe :</t>
  </si>
  <si>
    <t>HR</t>
  </si>
  <si>
    <t>Eslovaquia</t>
  </si>
  <si>
    <t>DK</t>
  </si>
  <si>
    <t>Eslovenia</t>
  </si>
  <si>
    <t>SK</t>
  </si>
  <si>
    <t>Estonia</t>
  </si>
  <si>
    <t>Zona Estándar</t>
  </si>
  <si>
    <t>SI</t>
  </si>
  <si>
    <t>Finlandia</t>
  </si>
  <si>
    <t>Precio Zona estándar</t>
  </si>
  <si>
    <t>EE</t>
  </si>
  <si>
    <t>Francia</t>
  </si>
  <si>
    <t>FI</t>
  </si>
  <si>
    <t>Grecia</t>
  </si>
  <si>
    <t>FR</t>
  </si>
  <si>
    <t>Holanda</t>
  </si>
  <si>
    <t>* IVA no incluido</t>
  </si>
  <si>
    <t>(*)</t>
  </si>
  <si>
    <t>GR</t>
  </si>
  <si>
    <t>Hungría</t>
  </si>
  <si>
    <t>SUPLEMENTOS NO INCLUIDOS</t>
  </si>
  <si>
    <t>NL</t>
  </si>
  <si>
    <t>Irlanda</t>
  </si>
  <si>
    <t>HU</t>
  </si>
  <si>
    <t>Italia</t>
  </si>
  <si>
    <t>IE</t>
  </si>
  <si>
    <t>Letonia</t>
  </si>
  <si>
    <t>IT</t>
  </si>
  <si>
    <t>Liechtenstein</t>
  </si>
  <si>
    <t>LV</t>
  </si>
  <si>
    <t>Lituania</t>
  </si>
  <si>
    <t>LI</t>
  </si>
  <si>
    <t>Luxemburgo</t>
  </si>
  <si>
    <t>LT</t>
  </si>
  <si>
    <t>Mónaco</t>
  </si>
  <si>
    <t>LU</t>
  </si>
  <si>
    <t>Noruega</t>
  </si>
  <si>
    <t>MC</t>
  </si>
  <si>
    <t>Polonia</t>
  </si>
  <si>
    <t>NO</t>
  </si>
  <si>
    <t>Reino Unido</t>
  </si>
  <si>
    <t>PL</t>
  </si>
  <si>
    <t>Rep. Checa</t>
  </si>
  <si>
    <t>GB</t>
  </si>
  <si>
    <t>Rumania</t>
  </si>
  <si>
    <t>CZ</t>
  </si>
  <si>
    <t>Suecia</t>
  </si>
  <si>
    <t>RO</t>
  </si>
  <si>
    <t>Suiza</t>
  </si>
  <si>
    <t>San Marino</t>
  </si>
  <si>
    <t>SM</t>
  </si>
  <si>
    <t>SE</t>
  </si>
  <si>
    <t>CH</t>
  </si>
  <si>
    <t>(*) Servicio no disponible en importación desde algunos códigos postales</t>
  </si>
  <si>
    <t>Precio x Kg para &gt;1000kg</t>
  </si>
  <si>
    <t xml:space="preserve">Los precios se cobran por tramos de 1 kg hasta los 70 kg., por tramos de 5 kg de 71 kg hasta 300kg, </t>
  </si>
  <si>
    <t>por tramos de 50 kg de 301 hasta 500kg y por tramos de 100kg para más de 500 kg</t>
  </si>
  <si>
    <t>Para determinar el Peso Volumétrico se utilizará la medida correctora de</t>
  </si>
  <si>
    <t>en los envíos de exportación. En importación, aplicará el estándar del producto.</t>
  </si>
  <si>
    <t>En envíos con recogida o entrega en provincias distintas de la del cliente, se aplicará un descuento sobre la tarifa publicada de la provincia del cliente del</t>
  </si>
  <si>
    <t xml:space="preserve">Volumen mínimo de negocio: </t>
  </si>
  <si>
    <t>envíos/mes</t>
  </si>
  <si>
    <t>facturación/mes</t>
  </si>
  <si>
    <t>Derechos de aduana, impuestos, suplementos y cargos relacionados no están incluidos en las tarifas.</t>
  </si>
  <si>
    <t>VALIDEZ DE LAS CONDICIONES ECONÓMICAS (*):</t>
  </si>
  <si>
    <t>Desde:</t>
  </si>
  <si>
    <t>Hasta:</t>
  </si>
  <si>
    <t>Publicación de la nueva tarifa</t>
  </si>
  <si>
    <t>Columna</t>
  </si>
  <si>
    <t xml:space="preserve">(*) Las tarifas se basan en el volumen y perfil de envios proporcionados por el Cliente con anterioridad a este acuerdo. En el supuesto de un recorte de </t>
  </si>
  <si>
    <t xml:space="preserve">los volúmenes previstos (de alguno o todos los productos) de más del 25% en tres (3) meses consecutivos, o un cambio sustancial en el volumen, </t>
  </si>
  <si>
    <t>peso o destino de los envios, DHL se reserva el derecho a ajustar las tarifas con un preaviso de un (1) mes notificado por escrito.</t>
  </si>
  <si>
    <t>A menos que se especifique otra cosa, las tarifas son válidas para los servicios durante el horario operativo estándar designado por DHL y deben excluirse festivos y fines de semana.</t>
  </si>
  <si>
    <t xml:space="preserve">En el caso de que la tasa de inflación exceda el 8%, DHL tendrá el derecho a aplicar un extracargo temporal de inflación con un aviso previo de 30 días, </t>
  </si>
  <si>
    <t xml:space="preserve">que será aplicable hasta la siguiente revisión de precios. </t>
  </si>
  <si>
    <t>Zona 6</t>
  </si>
  <si>
    <t>Las tarifas se actualizarán de acuerdo con la subida general de precios ("GPI") de DHL</t>
  </si>
  <si>
    <t xml:space="preserve">Recargos gubernamentales y regulatorios: Cualquier modificación en la legislación vigente y/o decisiones de organizaciones gubernamentales que supongan un aumento de costes </t>
  </si>
  <si>
    <t>para DHL serán repercutidos al Cliente en la proporción correspondiente, con un preaviso escrito de treinta (30) días.</t>
  </si>
  <si>
    <t xml:space="preserve">Situaciones de emergencia: DHL se reserva el derecho a aplicar un suplemento de emergencia para recuperar costes derivados de situaciones temporales de emergencia </t>
  </si>
  <si>
    <t xml:space="preserve">que están fuera del control de DHL y que no hayan podido ser previstas a la firma de este acuerdo. Estos recargos serán temporales y se aplicarán con carácter adicional a la tarifa. </t>
  </si>
  <si>
    <t>El Cliente recibirá un preaviso de ocho (8) días a través de la página web si se diera un recargo de emergencia, describiendo las razones de dicho recargo.</t>
  </si>
  <si>
    <t>Con la firma de este acuerdo se aceptan los Servicios de Valor Añadido y Suplementos, así como las Consideraciones Específicas del Producto.</t>
  </si>
  <si>
    <t>Se aplicarán los Términos y Condiciones de DHL eCommerce que están disponibles en la página web www.dhlecommerce.es, que el cliente manifiesta conocer y aceptar.</t>
  </si>
  <si>
    <t>Esta oferta tiene una validez de 3 meses desde la fecha de su presentación, hasta:</t>
  </si>
  <si>
    <t>ACUERDO</t>
  </si>
  <si>
    <t>Conforme Cliente</t>
  </si>
  <si>
    <t xml:space="preserve">Conforme DHL </t>
  </si>
  <si>
    <t>Nombre:</t>
  </si>
  <si>
    <t>Fecha:</t>
  </si>
  <si>
    <t>Firma:</t>
  </si>
  <si>
    <t>SERVICIOS DE VALOR AÑADIDO Y SUPLEMENTOS</t>
  </si>
  <si>
    <t xml:space="preserve">    SERVICIOS DE VALOR AÑADIDO</t>
  </si>
  <si>
    <t>Servicio</t>
  </si>
  <si>
    <t>Definición</t>
  </si>
  <si>
    <t>PRECIOS 2026</t>
  </si>
  <si>
    <r>
      <t xml:space="preserve">SEGURO A TODO RIESGO </t>
    </r>
    <r>
      <rPr>
        <vertAlign val="superscript"/>
        <sz val="11"/>
        <rFont val="Calibri"/>
        <family val="2"/>
        <scheme val="minor"/>
      </rPr>
      <t>1</t>
    </r>
  </si>
  <si>
    <t>Opción de asegurar los envíos mediante un Seguro a Todo Riesgo</t>
  </si>
  <si>
    <t>1% Valor Declarado
Prima mínima 10,00 €/envío</t>
  </si>
  <si>
    <t>JUSTIFICANTE DE ENTREGA</t>
  </si>
  <si>
    <t>Servicio de envío de copias de hojas de entrega y albaranes</t>
  </si>
  <si>
    <t xml:space="preserve">DECLARACIÓN EXPORTACIÓN </t>
  </si>
  <si>
    <t>Gestión Aduanera de envíos a destinos internacionales no comunitarios</t>
  </si>
  <si>
    <t>ADMINISTRACIÓN TASAS ADUANAS</t>
  </si>
  <si>
    <t>Cargo en concepto de reversión a origen de gastos de aduanas generados en  destino</t>
  </si>
  <si>
    <t>4% del valor de los aranceles e impuestos. 
Mínimo 18€/envío</t>
  </si>
  <si>
    <t>Se cobrarán además aquellos cargos adicionales que se generen durante el proceso aduanero, tales como declaración de partidas múltiples, almacenaje, notificación o entrega al agente de aduana de su elección, etc.</t>
  </si>
  <si>
    <t>Según proceso aduanero en destino. 
Consulte con su gestor comercial</t>
  </si>
  <si>
    <t>DECLARACIÓN IMPORTACIÓN</t>
  </si>
  <si>
    <t>Gestión Aduanera en envíos de importación.
Se cobrarán los derechos de importación y aquellos cargos adicionales que se generen durante el proceso aduanero de importación en España</t>
  </si>
  <si>
    <t>Tarifa para Derechos de Impotación en función del valor CIF de la mercancía. Consulte con su gestor comercial</t>
  </si>
  <si>
    <r>
      <rPr>
        <vertAlign val="superscript"/>
        <sz val="11"/>
        <rFont val="Calibri"/>
        <family val="2"/>
        <scheme val="minor"/>
      </rPr>
      <t>1</t>
    </r>
    <r>
      <rPr>
        <sz val="11"/>
        <rFont val="Calibri"/>
        <family val="2"/>
        <scheme val="minor"/>
      </rPr>
      <t xml:space="preserve"> Sólo disponible en Exportación
</t>
    </r>
  </si>
  <si>
    <r>
      <rPr>
        <vertAlign val="super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 xml:space="preserve"> Disponible próximamente
</t>
    </r>
  </si>
  <si>
    <t xml:space="preserve">    SUPLEMENTOS</t>
  </si>
  <si>
    <t xml:space="preserve">Servicio </t>
  </si>
  <si>
    <t>Precios 2025</t>
  </si>
  <si>
    <t>SUPLEMENTO POR COMBUSTIBLE</t>
  </si>
  <si>
    <t>Cargo para compensar la fluctuación de los precios de los carburantes</t>
  </si>
  <si>
    <t>Según % mensual aplicable, actualizado en  www.dhlecommerce.es</t>
  </si>
  <si>
    <t>ENTREGA ÁREA REMOTA</t>
  </si>
  <si>
    <t>Entregas en Zonas remotas.  Aplicación para envíos de Exportación</t>
  </si>
  <si>
    <t>0,35 €/kg 
Mínimo 25,00 €/envío</t>
  </si>
  <si>
    <t>RECOGIDA ÁREA REMOTA</t>
  </si>
  <si>
    <t>Recogidas en Zonas remotas.  Aplicación para envíos de Importación</t>
  </si>
  <si>
    <t>CORRECCIÓN DE LA DIRECCIÓN</t>
  </si>
  <si>
    <t>Gestión de incidencias por dirección incorrecta</t>
  </si>
  <si>
    <t>BULTO CON DIMENSIONES EXCEDIDAS</t>
  </si>
  <si>
    <t xml:space="preserve">Suplemento aplicado a bultos de menos de 31kg de peso real y con alguna de sus  dimensiones superior a 120 cm </t>
  </si>
  <si>
    <r>
      <t>Suplemento aplicado a bultos</t>
    </r>
    <r>
      <rPr>
        <vertAlign val="super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 xml:space="preserve"> de menos de 31kg de peso real  y
con alguna dimensión superior a 150 cm ó en los que la suma de sus lados sea superior a 300 cm según la siguiente fórmula: largo + 2x alto + 2x fondo</t>
    </r>
  </si>
  <si>
    <r>
      <t>Suplemento aplicado a bultos</t>
    </r>
    <r>
      <rPr>
        <vertAlign val="superscript"/>
        <sz val="11"/>
        <rFont val="Calibri"/>
        <family val="2"/>
        <scheme val="minor"/>
      </rPr>
      <t>3</t>
    </r>
    <r>
      <rPr>
        <sz val="11"/>
        <rFont val="Calibri"/>
        <family val="2"/>
        <scheme val="minor"/>
      </rPr>
      <t xml:space="preserve"> de más de 31kg de peso real con al menos 1 dimensión superior a 120 cm</t>
    </r>
  </si>
  <si>
    <r>
      <t xml:space="preserve">BULTO </t>
    </r>
    <r>
      <rPr>
        <sz val="11"/>
        <rFont val="Calibri"/>
        <family val="2"/>
        <scheme val="minor"/>
      </rPr>
      <t>CON EXCESO DE PESO</t>
    </r>
  </si>
  <si>
    <r>
      <t>Suplemento aplicado a bultos</t>
    </r>
    <r>
      <rPr>
        <vertAlign val="superscript"/>
        <sz val="11"/>
        <rFont val="Calibri"/>
        <family val="2"/>
        <scheme val="minor"/>
      </rPr>
      <t>3</t>
    </r>
    <r>
      <rPr>
        <sz val="11"/>
        <rFont val="Calibri"/>
        <family val="2"/>
        <scheme val="minor"/>
      </rPr>
      <t xml:space="preserve"> con peso real superior a 70 Kg</t>
    </r>
  </si>
  <si>
    <t>SUPLEMENTO MARITIMO (IMO 2020)</t>
  </si>
  <si>
    <t>Aplicable a envíos en los que el transporte o parte del mismo se realice por vía marítima</t>
  </si>
  <si>
    <t>Consultar tarifa aplicable en www.dhlecommerce.es</t>
  </si>
  <si>
    <t>BREXIT</t>
  </si>
  <si>
    <t xml:space="preserve">Suplemento aplicado a envíos con origen o destino Gran Bretaña </t>
  </si>
  <si>
    <t>0,25€/kg 
Mínimo 5€/envío</t>
  </si>
  <si>
    <t>PLATAFORMA FACTURACIÓN CLIENTES</t>
  </si>
  <si>
    <t>Servicio de envío de facturas de DHL a plataformas externas de clientes, no compatible con nuestro servicio E-billing</t>
  </si>
  <si>
    <t>1€ por factura</t>
  </si>
  <si>
    <t>DOCUMENTACION MANUAL</t>
  </si>
  <si>
    <t>Aplicable a envíos documentados con albaranes manuales qu no se generan a través de nuestros sistemas informáticos</t>
  </si>
  <si>
    <r>
      <t>1,00€ por la primera pieza, más 0,25€ por pieza adicional</t>
    </r>
    <r>
      <rPr>
        <vertAlign val="superscript"/>
        <sz val="11"/>
        <rFont val="Calibri"/>
        <family val="2"/>
        <scheme val="minor"/>
      </rPr>
      <t>3</t>
    </r>
  </si>
  <si>
    <t>1,00€ por la primera pieza, más 0,25€ por pieza adicional3</t>
  </si>
  <si>
    <r>
      <t xml:space="preserve">  </t>
    </r>
    <r>
      <rPr>
        <vertAlign val="super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 xml:space="preserve"> Aplicable en envíos con destino Francia</t>
    </r>
  </si>
  <si>
    <r>
      <t xml:space="preserve">  </t>
    </r>
    <r>
      <rPr>
        <vertAlign val="superscript"/>
        <sz val="11"/>
        <rFont val="Calibri"/>
        <family val="2"/>
        <scheme val="minor"/>
      </rPr>
      <t>3</t>
    </r>
    <r>
      <rPr>
        <sz val="11"/>
        <rFont val="Calibri"/>
        <family val="2"/>
        <scheme val="minor"/>
      </rPr>
      <t xml:space="preserve"> Incluído pallets.</t>
    </r>
  </si>
  <si>
    <t/>
  </si>
  <si>
    <t>0 a 1 kg</t>
  </si>
  <si>
    <t>Hasta Peso</t>
  </si>
  <si>
    <t>1,1 a 2 kg</t>
  </si>
  <si>
    <t>2,1 a 3 kg</t>
  </si>
  <si>
    <t>3,1 a 4 kg</t>
  </si>
  <si>
    <t>4,1 a 5 kg</t>
  </si>
  <si>
    <t>5,1 a 6 kg</t>
  </si>
  <si>
    <t>6,1 a 7 kg</t>
  </si>
  <si>
    <t>7,1 a 8 kg</t>
  </si>
  <si>
    <t>8,1 a 9 kg</t>
  </si>
  <si>
    <t>9,1 a 10 kg</t>
  </si>
  <si>
    <t>10,1 a 11 kg</t>
  </si>
  <si>
    <t>11,1 a 12 kg</t>
  </si>
  <si>
    <t>12,1 a 13 kg</t>
  </si>
  <si>
    <t>13,1 a 14 kg</t>
  </si>
  <si>
    <t>14,1 a 15 kg</t>
  </si>
  <si>
    <t>15,1 a 16 kg</t>
  </si>
  <si>
    <t>16,1 a 17 kg</t>
  </si>
  <si>
    <t>17,1 a 18 kg</t>
  </si>
  <si>
    <t>18,1 a 19 kg</t>
  </si>
  <si>
    <t>19,1 a 20 kg</t>
  </si>
  <si>
    <t>20,1 a 21 kg</t>
  </si>
  <si>
    <t>21,1 a 22 kg</t>
  </si>
  <si>
    <t>22,1 a 23 kg</t>
  </si>
  <si>
    <t>23,1 a 24 kg</t>
  </si>
  <si>
    <t>24,1 a 25 kg</t>
  </si>
  <si>
    <t>25,1 a 26 kg</t>
  </si>
  <si>
    <t>26,1 a 27 kg</t>
  </si>
  <si>
    <t>27,1 a 28 kg</t>
  </si>
  <si>
    <t>28,1 a 29 kg</t>
  </si>
  <si>
    <t>29,1 a 30 kg</t>
  </si>
  <si>
    <t>30,1 a 31 kg</t>
  </si>
  <si>
    <t>31,1 a 32 kg</t>
  </si>
  <si>
    <t>32,1 a 33 kg</t>
  </si>
  <si>
    <t>33,1 a 34 kg</t>
  </si>
  <si>
    <t>34,1 a 35 kg</t>
  </si>
  <si>
    <t>35,1 a 36 kg</t>
  </si>
  <si>
    <t>36,1 a 37 kg</t>
  </si>
  <si>
    <t>37,1 a 38 kg</t>
  </si>
  <si>
    <t>38,1 a 39 kg</t>
  </si>
  <si>
    <t>39,1 a 40 kg</t>
  </si>
  <si>
    <t>40,1 a 41 kg</t>
  </si>
  <si>
    <t>41,1 a 42 kg</t>
  </si>
  <si>
    <t>42,1 a 43 kg</t>
  </si>
  <si>
    <t>43,1 a 44 kg</t>
  </si>
  <si>
    <t>44,1 a 45 kg</t>
  </si>
  <si>
    <t>45,1 a 46 kg</t>
  </si>
  <si>
    <t>46,1 a 47 kg</t>
  </si>
  <si>
    <t>47,1 a 48 kg</t>
  </si>
  <si>
    <t>48,1 a 49 kg</t>
  </si>
  <si>
    <t>49,1 a 50 kg</t>
  </si>
  <si>
    <t>50,1 a 51 kg</t>
  </si>
  <si>
    <t>51,1 a 52 kg</t>
  </si>
  <si>
    <t>52,1 a 53 kg</t>
  </si>
  <si>
    <t>53,1 a 54 kg</t>
  </si>
  <si>
    <t>54,1 a 55 kg</t>
  </si>
  <si>
    <t>55,1 a 56 kg</t>
  </si>
  <si>
    <t>56,1 a 57 kg</t>
  </si>
  <si>
    <t>57,1 a 58 kg</t>
  </si>
  <si>
    <t>58,1 a 59 kg</t>
  </si>
  <si>
    <t>59,1 a 60 kg</t>
  </si>
  <si>
    <t>60,1 a 61 kg</t>
  </si>
  <si>
    <t>61,1 a 62 kg</t>
  </si>
  <si>
    <t>62,1 a 63 kg</t>
  </si>
  <si>
    <t>63,1 a 64 kg</t>
  </si>
  <si>
    <t>64,1 a 65 kg</t>
  </si>
  <si>
    <t>65,1 a 66 kg</t>
  </si>
  <si>
    <t>66,1 a 67 kg</t>
  </si>
  <si>
    <t>67,1 a 68 kg</t>
  </si>
  <si>
    <t>68,1 a 69 kg</t>
  </si>
  <si>
    <t>69,1 a 70 kg</t>
  </si>
  <si>
    <t>70,1 a 75 kg</t>
  </si>
  <si>
    <t>75,1 a 80 kg</t>
  </si>
  <si>
    <t>80,1 a 85 kg</t>
  </si>
  <si>
    <t>85,1 a 90 kg</t>
  </si>
  <si>
    <t>90,1 a 95 kg</t>
  </si>
  <si>
    <t>95,1 a 100 kg</t>
  </si>
  <si>
    <t>100,1 a 105 kg</t>
  </si>
  <si>
    <t>105,1 a 110 kg</t>
  </si>
  <si>
    <t>110,1 a 115 kg</t>
  </si>
  <si>
    <t>115,1 a 120 kg</t>
  </si>
  <si>
    <t>120,1 a 125 kg</t>
  </si>
  <si>
    <t>125,1 a 130 kg</t>
  </si>
  <si>
    <t>130,1 a 135 kg</t>
  </si>
  <si>
    <t>135,1 a 140 kg</t>
  </si>
  <si>
    <t>140,1 a 145 kg</t>
  </si>
  <si>
    <t>145,1 a 150 kg</t>
  </si>
  <si>
    <t>150,1 a 155 kg</t>
  </si>
  <si>
    <t>155,1 a 160 kg</t>
  </si>
  <si>
    <t>160,1 a 165 kg</t>
  </si>
  <si>
    <t>165,1 a 170 kg</t>
  </si>
  <si>
    <t>170,1 a 175 kg</t>
  </si>
  <si>
    <t>175,1 a 180 kg</t>
  </si>
  <si>
    <t>180,1 a 185 kg</t>
  </si>
  <si>
    <t>185,1 a 190 kg</t>
  </si>
  <si>
    <t>190,1 a 195 kg</t>
  </si>
  <si>
    <t>195,1 a 200 kg</t>
  </si>
  <si>
    <t>200,1 a 205 kg</t>
  </si>
  <si>
    <t>205,1 a 210 kg</t>
  </si>
  <si>
    <t>210,1 a 215 kg</t>
  </si>
  <si>
    <t>215,1 a 220 kg</t>
  </si>
  <si>
    <t>220,1 a 225 kg</t>
  </si>
  <si>
    <t>225,1 a 230 kg</t>
  </si>
  <si>
    <t>230,1 a 235 kg</t>
  </si>
  <si>
    <t>235,1 a 240 kg</t>
  </si>
  <si>
    <t>240,1 a 245 kg</t>
  </si>
  <si>
    <t>245,1 a 250 kg</t>
  </si>
  <si>
    <t>250,1 a 255 kg</t>
  </si>
  <si>
    <t>255,1 a 260 kg</t>
  </si>
  <si>
    <t>260,1 a 265 kg</t>
  </si>
  <si>
    <t>265,1 a 270 kg</t>
  </si>
  <si>
    <t>270,1 a 275 kg</t>
  </si>
  <si>
    <t>275,1 a 280 kg</t>
  </si>
  <si>
    <t>280,1 a 285 kg</t>
  </si>
  <si>
    <t>285,1 a 290 kg</t>
  </si>
  <si>
    <t>290,1 a 295 kg</t>
  </si>
  <si>
    <t>295,1 a 300 kg</t>
  </si>
  <si>
    <t>300,1 a 305 kg</t>
  </si>
  <si>
    <t>305,1 a 310 kg</t>
  </si>
  <si>
    <t>310,1 a 315 kg</t>
  </si>
  <si>
    <t>315,1 a 320 kg</t>
  </si>
  <si>
    <t>320,1 a 325 kg</t>
  </si>
  <si>
    <t>325,1 a 330 kg</t>
  </si>
  <si>
    <t>330,1 a 335 kg</t>
  </si>
  <si>
    <t>335,1 a 340 kg</t>
  </si>
  <si>
    <t>340,1 a 345 kg</t>
  </si>
  <si>
    <t>345,1 a 350 kg</t>
  </si>
  <si>
    <t>350,1 a 355 kg</t>
  </si>
  <si>
    <t>&gt;1000</t>
  </si>
  <si>
    <t>355,1 a 360 kg</t>
  </si>
  <si>
    <t>360,1 a 365 kg</t>
  </si>
  <si>
    <t>365,1 a 370 kg</t>
  </si>
  <si>
    <t>370,1 a 375 kg</t>
  </si>
  <si>
    <t>375,1 a 380 kg</t>
  </si>
  <si>
    <t>380,1 a 385 kg</t>
  </si>
  <si>
    <t>385,1 a 390 kg</t>
  </si>
  <si>
    <t>390,1 a 395 kg</t>
  </si>
  <si>
    <t>395,1 a 400 kg</t>
  </si>
  <si>
    <t>400,1 a 405 kg</t>
  </si>
  <si>
    <t>405,1 a 410 kg</t>
  </si>
  <si>
    <t>410,1 a 415 kg</t>
  </si>
  <si>
    <t>415,1 a 420 kg</t>
  </si>
  <si>
    <t>420,1 a 425 kg</t>
  </si>
  <si>
    <t>425,1 a 430 kg</t>
  </si>
  <si>
    <t>430,1 a 435 kg</t>
  </si>
  <si>
    <t>435,1 a 440 kg</t>
  </si>
  <si>
    <t>440,1 a 445 kg</t>
  </si>
  <si>
    <t>445,1 a 450 kg</t>
  </si>
  <si>
    <t>450,1 a 455 kg</t>
  </si>
  <si>
    <t>455,1 a 460 kg</t>
  </si>
  <si>
    <t>460,1 a 465 kg</t>
  </si>
  <si>
    <t>465,1 a 470 kg</t>
  </si>
  <si>
    <t>470,1 a 475 kg</t>
  </si>
  <si>
    <t>475,1 a 480 kg</t>
  </si>
  <si>
    <t>480,1 a 485 kg</t>
  </si>
  <si>
    <t>485,1 a 490 kg</t>
  </si>
  <si>
    <t>490,1 a 495 kg</t>
  </si>
  <si>
    <t>495,1 a 500 kg</t>
  </si>
  <si>
    <t>500,1 a 505 kg</t>
  </si>
  <si>
    <t>505,1 a 510 kg</t>
  </si>
  <si>
    <t>510,1 a 515 kg</t>
  </si>
  <si>
    <t>515,1 a 520 kg</t>
  </si>
  <si>
    <t>520,1 a 525 kg</t>
  </si>
  <si>
    <t>525,1 a 530 kg</t>
  </si>
  <si>
    <t>530,1 a 535 kg</t>
  </si>
  <si>
    <t>535,1 a 540 kg</t>
  </si>
  <si>
    <t>540,1 a 545 kg</t>
  </si>
  <si>
    <t>545,1 a 550 kg</t>
  </si>
  <si>
    <t>550,1 a 555 kg</t>
  </si>
  <si>
    <t>555,1 a 560 kg</t>
  </si>
  <si>
    <t>560,1 a 565 kg</t>
  </si>
  <si>
    <t>565,1 a 570 kg</t>
  </si>
  <si>
    <t>570,1 a 575 kg</t>
  </si>
  <si>
    <t>575,1 a 580 kg</t>
  </si>
  <si>
    <t>580,1 a 585 kg</t>
  </si>
  <si>
    <t>585,1 a 590 kg</t>
  </si>
  <si>
    <t>590,1 a 595 kg</t>
  </si>
  <si>
    <t>595,1 a 600 kg</t>
  </si>
  <si>
    <t>600,1 a 605 kg</t>
  </si>
  <si>
    <t>605,1 a 610 kg</t>
  </si>
  <si>
    <t>610,1 a 615 kg</t>
  </si>
  <si>
    <t>615,1 a 620 kg</t>
  </si>
  <si>
    <t>620,1 a 625 kg</t>
  </si>
  <si>
    <t>625,1 a 630 kg</t>
  </si>
  <si>
    <t>630,1 a 635 kg</t>
  </si>
  <si>
    <t>635,1 a 640 kg</t>
  </si>
  <si>
    <t>640,1 a 645 kg</t>
  </si>
  <si>
    <t>645,1 a 650 kg</t>
  </si>
  <si>
    <t>650,1 a 655 kg</t>
  </si>
  <si>
    <t>655,1 a 660 kg</t>
  </si>
  <si>
    <t>660,1 a 665 kg</t>
  </si>
  <si>
    <t>665,1 a 670 kg</t>
  </si>
  <si>
    <t>670,1 a 675 kg</t>
  </si>
  <si>
    <t>675,1 a 680 kg</t>
  </si>
  <si>
    <t>680,1 a 685 kg</t>
  </si>
  <si>
    <t>685,1 a 690 kg</t>
  </si>
  <si>
    <t>690,1 a 695 kg</t>
  </si>
  <si>
    <t>695,1 a 700 kg</t>
  </si>
  <si>
    <t>700,1 a 705 kg</t>
  </si>
  <si>
    <t>705,1 a 710 kg</t>
  </si>
  <si>
    <t>710,1 a 715 kg</t>
  </si>
  <si>
    <t>715,1 a 720 kg</t>
  </si>
  <si>
    <t>720,1 a 725 kg</t>
  </si>
  <si>
    <t>725,1 a 730 kg</t>
  </si>
  <si>
    <t>730,1 a 735 kg</t>
  </si>
  <si>
    <t>735,1 a 740 kg</t>
  </si>
  <si>
    <t>740,1 a 745 kg</t>
  </si>
  <si>
    <t>745,1 a 750 kg</t>
  </si>
  <si>
    <t>750,1 a 755 kg</t>
  </si>
  <si>
    <t>755,1 a 760 kg</t>
  </si>
  <si>
    <t>760,1 a 765 kg</t>
  </si>
  <si>
    <t>765,1 a 770 kg</t>
  </si>
  <si>
    <t>770,1 a 775 kg</t>
  </si>
  <si>
    <t>775,1 a 780 kg</t>
  </si>
  <si>
    <t>780,1 a 785 kg</t>
  </si>
  <si>
    <t>785,1 a 790 kg</t>
  </si>
  <si>
    <t>790,1 a 795 kg</t>
  </si>
  <si>
    <t>795,1 a 800 kg</t>
  </si>
  <si>
    <t>800,1 a 805 kg</t>
  </si>
  <si>
    <t>805,1 a 810 kg</t>
  </si>
  <si>
    <t>810,1 a 815 kg</t>
  </si>
  <si>
    <t>815,1 a 820 kg</t>
  </si>
  <si>
    <t>820,1 a 825 kg</t>
  </si>
  <si>
    <t>825,1 a 830 kg</t>
  </si>
  <si>
    <t>830,1 a 835 kg</t>
  </si>
  <si>
    <t>835,1 a 840 kg</t>
  </si>
  <si>
    <t>840,1 a 845 kg</t>
  </si>
  <si>
    <t>845,1 a 850 kg</t>
  </si>
  <si>
    <t>850,1 a 855 kg</t>
  </si>
  <si>
    <t>855,1 a 860 kg</t>
  </si>
  <si>
    <t>860,1 a 865 kg</t>
  </si>
  <si>
    <t>865,1 a 870 kg</t>
  </si>
  <si>
    <t>870,1 a 875 kg</t>
  </si>
  <si>
    <t>875,1 a 880 kg</t>
  </si>
  <si>
    <t>880,1 a 885 kg</t>
  </si>
  <si>
    <t>885,1 a 890 kg</t>
  </si>
  <si>
    <t>890,1 a 895 kg</t>
  </si>
  <si>
    <t>895,1 a 900 kg</t>
  </si>
  <si>
    <t>900,1 a 905 kg</t>
  </si>
  <si>
    <t>905,1 a 910 kg</t>
  </si>
  <si>
    <t>910,1 a 915 kg</t>
  </si>
  <si>
    <t>915,1 a 920 kg</t>
  </si>
  <si>
    <t>920,1 a 925 kg</t>
  </si>
  <si>
    <t>925,1 a 930 kg</t>
  </si>
  <si>
    <t>930,1 a 935 kg</t>
  </si>
  <si>
    <t>935,1 a 940 kg</t>
  </si>
  <si>
    <t>940,1 a 945 kg</t>
  </si>
  <si>
    <t>945,1 a 950 kg</t>
  </si>
  <si>
    <t>950,1 a 955 kg</t>
  </si>
  <si>
    <t>955,1 a 960 kg</t>
  </si>
  <si>
    <t>960,1 a 965 kg</t>
  </si>
  <si>
    <t>965,1 a 970 kg</t>
  </si>
  <si>
    <t>970,1 a 975 kg</t>
  </si>
  <si>
    <t>975,1 a 980 kg</t>
  </si>
  <si>
    <t>980,1 a 985 kg</t>
  </si>
  <si>
    <t>985,1 a 990 kg</t>
  </si>
  <si>
    <t>990,1 a 995 kg</t>
  </si>
  <si>
    <t>995,1 a 1000 kg</t>
  </si>
  <si>
    <t>MAMPARAS DOCCIA SL</t>
  </si>
  <si>
    <t>SEVILLA</t>
  </si>
  <si>
    <t>Indicar Nº env/mes y facturación/mes comprometida</t>
  </si>
  <si>
    <t>10% DTO. Según % mensual aplicable, actualizado en  www.dhlecommerce.es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</si>
</sst>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4" formatCode="_-* #,##0.00\ &quot;€&quot;_-;\-* #,##0.00\ &quot;€&quot;_-;_-* &quot;-&quot;??\ &quot;€&quot;_-;_-@_-"/>
    <numFmt numFmtId="164" formatCode="General_)"/>
    <numFmt numFmtId="165" formatCode="&quot;Hasta&quot;\ 0.0\ &quot;kg&quot;"/>
    <numFmt numFmtId="166" formatCode="#,##0.0"/>
    <numFmt numFmtId="167" formatCode="#,##0.000"/>
    <numFmt numFmtId="168" formatCode="0\ &quot;kg/m3&quot;"/>
    <numFmt numFmtId="169" formatCode="0.00&quot;%&quot;"/>
    <numFmt numFmtId="170" formatCode="[$-C0A]d\ &quot;de&quot;\ mmmm\ &quot;de&quot;\ yyyy;@"/>
    <numFmt numFmtId="171" formatCode="0.000"/>
    <numFmt numFmtId="172" formatCode="#,##0.00\ &quot;€&quot;"/>
  </numFmts>
  <fonts count="74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color rgb="FFC00000"/>
      <name val="Calibri"/>
      <family val="2"/>
      <scheme val="minor"/>
    </font>
    <font>
      <b/>
      <sz val="18"/>
      <color rgb="FFC00000"/>
      <name val="Calibri"/>
      <family val="2"/>
      <scheme val="minor"/>
    </font>
    <font>
      <b/>
      <sz val="20"/>
      <name val="Calibri"/>
      <family val="2"/>
    </font>
    <font>
      <b/>
      <sz val="10"/>
      <name val="Arial"/>
      <family val="2"/>
    </font>
    <font>
      <sz val="18"/>
      <color rgb="FFC00000"/>
      <name val="Frutiger 55 Roman"/>
      <family val="2"/>
    </font>
    <font>
      <b/>
      <sz val="30"/>
      <color rgb="FFC00000"/>
      <name val="Frutiger 57 Cn"/>
      <family val="3"/>
    </font>
    <font>
      <b/>
      <sz val="10"/>
      <name val="Calibri"/>
      <family val="2"/>
      <scheme val="minor"/>
    </font>
    <font>
      <sz val="10"/>
      <name val="Arial CE"/>
      <charset val="238"/>
    </font>
    <font>
      <b/>
      <sz val="10"/>
      <name val="Delivery"/>
      <family val="2"/>
    </font>
    <font>
      <sz val="9"/>
      <name val="Cambria"/>
      <family val="2"/>
      <scheme val="major"/>
    </font>
    <font>
      <sz val="10"/>
      <name val="Calibri"/>
      <family val="2"/>
      <scheme val="minor"/>
    </font>
    <font>
      <vertAlign val="superscript"/>
      <sz val="10"/>
      <name val="Calibri"/>
      <family val="2"/>
      <scheme val="minor"/>
    </font>
    <font>
      <b/>
      <vertAlign val="superscript"/>
      <sz val="10"/>
      <name val="Calibri"/>
      <family val="2"/>
      <scheme val="minor"/>
    </font>
    <font>
      <sz val="8"/>
      <name val="Calibri"/>
      <family val="2"/>
      <scheme val="minor"/>
    </font>
    <font>
      <vertAlign val="superscript"/>
      <sz val="8"/>
      <name val="Calibri"/>
      <family val="2"/>
      <scheme val="minor"/>
    </font>
    <font>
      <sz val="6"/>
      <name val="Cambria"/>
      <family val="2"/>
      <scheme val="major"/>
    </font>
    <font>
      <sz val="10"/>
      <color rgb="FF000000"/>
      <name val="Calibri"/>
      <family val="2"/>
      <scheme val="minor"/>
    </font>
    <font>
      <b/>
      <sz val="14"/>
      <name val="Arial"/>
      <family val="2"/>
    </font>
    <font>
      <sz val="10"/>
      <color theme="0"/>
      <name val="Calibri"/>
      <family val="2"/>
      <scheme val="minor"/>
    </font>
    <font>
      <sz val="24"/>
      <color rgb="FFD40511"/>
      <name val="Calibri"/>
      <family val="2"/>
      <scheme val="minor"/>
    </font>
    <font>
      <sz val="10"/>
      <color indexed="10"/>
      <name val="Calibri"/>
      <family val="2"/>
      <scheme val="minor"/>
    </font>
    <font>
      <sz val="22"/>
      <color rgb="FFD40511"/>
      <name val="Calibri"/>
      <family val="2"/>
      <scheme val="minor"/>
    </font>
    <font>
      <b/>
      <sz val="22"/>
      <color rgb="FFC00000"/>
      <name val="Calibri"/>
      <family val="2"/>
      <scheme val="minor"/>
    </font>
    <font>
      <b/>
      <u/>
      <sz val="18"/>
      <color rgb="FFC00000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2"/>
      <name val="Calibri"/>
      <family val="2"/>
      <scheme val="minor"/>
    </font>
    <font>
      <b/>
      <sz val="14"/>
      <color rgb="FFC00000"/>
      <name val="Calibri"/>
      <family val="2"/>
      <scheme val="minor"/>
    </font>
    <font>
      <sz val="10"/>
      <name val="Arial MT"/>
    </font>
    <font>
      <b/>
      <sz val="11"/>
      <color indexed="10"/>
      <name val="Calibri"/>
      <family val="2"/>
      <scheme val="minor"/>
    </font>
    <font>
      <b/>
      <sz val="12"/>
      <color indexed="10"/>
      <name val="Calibri"/>
      <family val="2"/>
      <scheme val="minor"/>
    </font>
    <font>
      <b/>
      <sz val="11"/>
      <name val="Calibri"/>
      <family val="2"/>
      <scheme val="minor"/>
    </font>
    <font>
      <sz val="10"/>
      <color indexed="9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11"/>
      <color indexed="9"/>
      <name val="Calibri"/>
      <family val="2"/>
      <scheme val="minor"/>
    </font>
    <font>
      <sz val="11"/>
      <color indexed="1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0"/>
      <color rgb="FF0000FF"/>
      <name val="Calibri"/>
      <family val="2"/>
      <scheme val="minor"/>
    </font>
    <font>
      <b/>
      <sz val="16"/>
      <name val="Calibri"/>
      <family val="2"/>
      <scheme val="minor"/>
    </font>
    <font>
      <b/>
      <sz val="16"/>
      <color indexed="10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8"/>
      <name val="Calibri"/>
      <family val="2"/>
      <scheme val="minor"/>
    </font>
    <font>
      <sz val="16"/>
      <name val="Calibri"/>
      <family val="2"/>
      <scheme val="minor"/>
    </font>
    <font>
      <sz val="8"/>
      <color theme="0"/>
      <name val="Calibri"/>
      <family val="2"/>
      <scheme val="minor"/>
    </font>
    <font>
      <sz val="8"/>
      <color rgb="FFFF0000"/>
      <name val="Calibri"/>
      <family val="2"/>
      <scheme val="minor"/>
    </font>
    <font>
      <sz val="8"/>
      <color indexed="9"/>
      <name val="Calibri"/>
      <family val="2"/>
      <scheme val="minor"/>
    </font>
    <font>
      <b/>
      <i/>
      <sz val="12"/>
      <name val="Calibri"/>
      <family val="2"/>
      <scheme val="minor"/>
    </font>
    <font>
      <b/>
      <i/>
      <sz val="11"/>
      <name val="Calibri"/>
      <family val="2"/>
      <scheme val="minor"/>
    </font>
    <font>
      <b/>
      <sz val="7"/>
      <name val="Calibri"/>
      <family val="2"/>
      <scheme val="minor"/>
    </font>
    <font>
      <b/>
      <sz val="16"/>
      <color indexed="9"/>
      <name val="Calibri"/>
      <family val="2"/>
      <scheme val="minor"/>
    </font>
    <font>
      <b/>
      <i/>
      <sz val="10"/>
      <name val="Calibri"/>
      <family val="2"/>
      <scheme val="minor"/>
    </font>
    <font>
      <sz val="16"/>
      <color indexed="9"/>
      <name val="Calibri"/>
      <family val="2"/>
      <scheme val="minor"/>
    </font>
    <font>
      <b/>
      <i/>
      <sz val="9"/>
      <name val="Calibri"/>
      <family val="2"/>
      <scheme val="minor"/>
    </font>
    <font>
      <b/>
      <sz val="8"/>
      <color indexed="9"/>
      <name val="Calibri"/>
      <family val="2"/>
      <scheme val="minor"/>
    </font>
    <font>
      <sz val="8"/>
      <color rgb="FFC00000"/>
      <name val="Calibri"/>
      <family val="2"/>
      <scheme val="minor"/>
    </font>
    <font>
      <i/>
      <sz val="8"/>
      <name val="Calibri"/>
      <family val="2"/>
      <scheme val="minor"/>
    </font>
    <font>
      <sz val="8"/>
      <color indexed="10"/>
      <name val="Calibri"/>
      <family val="2"/>
      <scheme val="minor"/>
    </font>
    <font>
      <i/>
      <sz val="8"/>
      <color rgb="FFC00000"/>
      <name val="Calibri"/>
      <family val="2"/>
      <scheme val="minor"/>
    </font>
    <font>
      <b/>
      <sz val="8"/>
      <color theme="0"/>
      <name val="Calibri"/>
      <family val="2"/>
      <scheme val="minor"/>
    </font>
    <font>
      <b/>
      <sz val="8"/>
      <color rgb="FFFF0000"/>
      <name val="Calibri"/>
      <family val="2"/>
      <scheme val="minor"/>
    </font>
    <font>
      <b/>
      <sz val="22"/>
      <color rgb="FFD40511"/>
      <name val="Calibri"/>
      <family val="2"/>
      <scheme val="minor"/>
    </font>
    <font>
      <sz val="22"/>
      <name val="Calibri"/>
      <family val="2"/>
      <scheme val="minor"/>
    </font>
    <font>
      <sz val="16"/>
      <color theme="1"/>
      <name val="Calibri"/>
      <family val="2"/>
      <scheme val="minor"/>
    </font>
    <font>
      <vertAlign val="superscript"/>
      <sz val="11"/>
      <name val="Calibri"/>
      <family val="2"/>
      <scheme val="minor"/>
    </font>
    <font>
      <sz val="14"/>
      <name val="Calibri"/>
      <family val="2"/>
      <scheme val="minor"/>
    </font>
    <font>
      <b/>
      <sz val="14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rgb="FFD40511"/>
      <name val="Calibri"/>
      <family val="2"/>
      <scheme val="minor"/>
    </font>
    <font>
      <b/>
      <sz val="22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FFCC00"/>
        <bgColor indexed="64"/>
      </patternFill>
    </fill>
    <fill>
      <gradientFill degree="270">
        <stop position="0">
          <color theme="0"/>
        </stop>
        <stop position="1">
          <color rgb="FFFFCC00"/>
        </stop>
      </gradientFill>
    </fill>
    <fill>
      <patternFill patternType="solid">
        <fgColor rgb="FFFFC00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DA0000"/>
        <bgColor indexed="64"/>
      </patternFill>
    </fill>
    <fill>
      <gradientFill degree="90">
        <stop position="0">
          <color theme="0"/>
        </stop>
        <stop position="1">
          <color rgb="FFFFCC00"/>
        </stop>
      </gradientFill>
    </fill>
    <fill>
      <patternFill patternType="solid">
        <fgColor theme="0"/>
        <bgColor indexed="64"/>
      </patternFill>
    </fill>
    <fill>
      <patternFill patternType="solid">
        <fgColor rgb="FFFFEA8F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theme="0"/>
        <bgColor auto="1"/>
      </patternFill>
    </fill>
    <fill>
      <patternFill patternType="solid">
        <fgColor rgb="FFFFFF00"/>
        <bgColor indexed="64"/>
      </patternFill>
    </fill>
  </fills>
  <borders count="31">
    <border>
      <left/>
      <right/>
      <top/>
      <bottom/>
      <diagonal/>
    </border>
    <border>
      <left/>
      <right/>
      <top/>
      <bottom style="thin">
        <color rgb="FFFFC000"/>
      </bottom>
      <diagonal/>
    </border>
    <border>
      <left/>
      <right/>
      <top style="thin">
        <color rgb="FFFFC000"/>
      </top>
      <bottom/>
      <diagonal/>
    </border>
    <border>
      <left/>
      <right/>
      <top/>
      <bottom style="medium">
        <color rgb="FFC00000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9"/>
      </bottom>
      <diagonal/>
    </border>
    <border>
      <left style="thick">
        <color indexed="51"/>
      </left>
      <right/>
      <top style="thick">
        <color indexed="51"/>
      </top>
      <bottom style="thick">
        <color indexed="51"/>
      </bottom>
      <diagonal/>
    </border>
    <border>
      <left/>
      <right style="thick">
        <color indexed="51"/>
      </right>
      <top style="thick">
        <color indexed="51"/>
      </top>
      <bottom style="thick">
        <color indexed="51"/>
      </bottom>
      <diagonal/>
    </border>
    <border>
      <left style="thick">
        <color indexed="51"/>
      </left>
      <right/>
      <top/>
      <bottom/>
      <diagonal/>
    </border>
    <border>
      <left style="thin">
        <color indexed="9"/>
      </left>
      <right/>
      <top style="thin">
        <color indexed="9"/>
      </top>
      <bottom style="thin">
        <color theme="1" tint="0.34998626667073579"/>
      </bottom>
      <diagonal/>
    </border>
    <border>
      <left/>
      <right/>
      <top style="thin">
        <color indexed="9"/>
      </top>
      <bottom style="thin">
        <color theme="1" tint="0.34998626667073579"/>
      </bottom>
      <diagonal/>
    </border>
    <border>
      <left style="thick">
        <color indexed="51"/>
      </left>
      <right style="thin">
        <color indexed="51"/>
      </right>
      <top style="thick">
        <color indexed="51"/>
      </top>
      <bottom style="thin">
        <color indexed="51"/>
      </bottom>
      <diagonal/>
    </border>
    <border>
      <left style="thin">
        <color indexed="51"/>
      </left>
      <right style="thick">
        <color indexed="51"/>
      </right>
      <top style="thick">
        <color indexed="51"/>
      </top>
      <bottom style="thin">
        <color indexed="51"/>
      </bottom>
      <diagonal/>
    </border>
    <border>
      <left style="thin">
        <color indexed="9"/>
      </left>
      <right/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 style="thick">
        <color indexed="51"/>
      </left>
      <right style="thin">
        <color indexed="51"/>
      </right>
      <top style="thin">
        <color indexed="51"/>
      </top>
      <bottom style="thick">
        <color indexed="51"/>
      </bottom>
      <diagonal/>
    </border>
    <border>
      <left style="thin">
        <color indexed="51"/>
      </left>
      <right style="thick">
        <color indexed="51"/>
      </right>
      <top style="thin">
        <color indexed="51"/>
      </top>
      <bottom style="thick">
        <color indexed="51"/>
      </bottom>
      <diagonal/>
    </border>
    <border>
      <left style="medium">
        <color indexed="9"/>
      </left>
      <right style="medium">
        <color indexed="9"/>
      </right>
      <top style="medium">
        <color indexed="9"/>
      </top>
      <bottom/>
      <diagonal/>
    </border>
    <border>
      <left style="medium">
        <color indexed="9"/>
      </left>
      <right/>
      <top style="medium">
        <color indexed="9"/>
      </top>
      <bottom/>
      <diagonal/>
    </border>
    <border>
      <left style="medium">
        <color indexed="9"/>
      </left>
      <right style="medium">
        <color indexed="9"/>
      </right>
      <top/>
      <bottom style="medium">
        <color indexed="9"/>
      </bottom>
      <diagonal/>
    </border>
    <border>
      <left style="medium">
        <color indexed="9"/>
      </left>
      <right/>
      <top/>
      <bottom/>
      <diagonal/>
    </border>
    <border>
      <left style="thin">
        <color indexed="9"/>
      </left>
      <right/>
      <top style="thin">
        <color theme="1" tint="0.34998626667073579"/>
      </top>
      <bottom style="medium">
        <color rgb="FFC00000"/>
      </bottom>
      <diagonal/>
    </border>
    <border>
      <left/>
      <right/>
      <top style="thin">
        <color theme="1" tint="0.34998626667073579"/>
      </top>
      <bottom style="medium">
        <color rgb="FFC00000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 style="thin">
        <color theme="1" tint="0.34998626667073579"/>
      </top>
      <bottom/>
      <diagonal/>
    </border>
    <border>
      <left/>
      <right/>
      <top style="thin">
        <color theme="1" tint="0.34998626667073579"/>
      </top>
      <bottom/>
      <diagonal/>
    </border>
    <border>
      <left style="thin">
        <color indexed="9"/>
      </left>
      <right style="thin">
        <color indexed="9"/>
      </right>
      <top/>
      <bottom style="medium">
        <color rgb="FFC00000"/>
      </bottom>
      <diagonal/>
    </border>
    <border>
      <left/>
      <right/>
      <top/>
      <bottom style="medium">
        <color rgb="FFFFC000"/>
      </bottom>
      <diagonal/>
    </border>
    <border>
      <left/>
      <right/>
      <top style="medium">
        <color rgb="FFFFC000"/>
      </top>
      <bottom style="medium">
        <color rgb="FFFFC000"/>
      </bottom>
      <diagonal/>
    </border>
    <border>
      <left/>
      <right/>
      <top style="medium">
        <color rgb="FFFFC000"/>
      </top>
      <bottom/>
      <diagonal/>
    </border>
  </borders>
  <cellStyleXfs count="14">
    <xf numFmtId="0" fontId="0" fillId="0" borderId="0"/>
    <xf numFmtId="44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0" fontId="11" fillId="0" borderId="0"/>
    <xf numFmtId="0" fontId="1" fillId="0" borderId="0"/>
    <xf numFmtId="0" fontId="3" fillId="0" borderId="0"/>
    <xf numFmtId="164" fontId="32" fillId="0" borderId="0"/>
    <xf numFmtId="164" fontId="32" fillId="0" borderId="0"/>
    <xf numFmtId="164" fontId="32" fillId="0" borderId="0"/>
    <xf numFmtId="0" fontId="3" fillId="0" borderId="0"/>
    <xf numFmtId="0" fontId="1" fillId="0" borderId="0"/>
    <xf numFmtId="0" fontId="3" fillId="0" borderId="0"/>
    <xf numFmtId="0" fontId="1" fillId="0" borderId="0"/>
  </cellStyleXfs>
  <cellXfs count="222">
    <xf numFmtId="0" fontId="0" fillId="0" borderId="0" xfId="0"/>
    <xf numFmtId="0" fontId="3" fillId="2" borderId="0" xfId="3" applyFill="1"/>
    <xf numFmtId="0" fontId="4" fillId="2" borderId="0" xfId="3" applyFont="1" applyFill="1"/>
    <xf numFmtId="9" fontId="3" fillId="2" borderId="0" xfId="3" applyNumberFormat="1" applyFill="1"/>
    <xf numFmtId="0" fontId="3" fillId="0" borderId="0" xfId="3"/>
    <xf numFmtId="0" fontId="3" fillId="3" borderId="0" xfId="3" applyFill="1"/>
    <xf numFmtId="0" fontId="3" fillId="4" borderId="0" xfId="3" applyFill="1"/>
    <xf numFmtId="0" fontId="5" fillId="4" borderId="0" xfId="3" applyFont="1" applyFill="1" applyAlignment="1">
      <alignment vertical="top"/>
    </xf>
    <xf numFmtId="0" fontId="6" fillId="0" borderId="0" xfId="3" applyFont="1" applyAlignment="1">
      <alignment vertical="center"/>
    </xf>
    <xf numFmtId="0" fontId="5" fillId="4" borderId="0" xfId="3" applyFont="1" applyFill="1"/>
    <xf numFmtId="0" fontId="7" fillId="0" borderId="0" xfId="3" applyFont="1"/>
    <xf numFmtId="0" fontId="8" fillId="0" borderId="0" xfId="3" applyFont="1" applyAlignment="1">
      <alignment vertical="center"/>
    </xf>
    <xf numFmtId="0" fontId="9" fillId="0" borderId="0" xfId="3" applyFont="1"/>
    <xf numFmtId="0" fontId="10" fillId="0" borderId="0" xfId="3" applyFont="1"/>
    <xf numFmtId="14" fontId="7" fillId="0" borderId="0" xfId="3" applyNumberFormat="1" applyFont="1"/>
    <xf numFmtId="0" fontId="12" fillId="4" borderId="0" xfId="4" applyFont="1" applyFill="1"/>
    <xf numFmtId="0" fontId="12" fillId="4" borderId="0" xfId="4" applyFont="1" applyFill="1" applyAlignment="1">
      <alignment vertical="center"/>
    </xf>
    <xf numFmtId="0" fontId="9" fillId="0" borderId="0" xfId="3" applyFont="1" applyAlignment="1">
      <alignment vertical="top"/>
    </xf>
    <xf numFmtId="0" fontId="9" fillId="0" borderId="1" xfId="3" applyFont="1" applyBorder="1"/>
    <xf numFmtId="0" fontId="13" fillId="0" borderId="0" xfId="3" applyFont="1" applyAlignment="1">
      <alignment horizontal="left" vertical="center"/>
    </xf>
    <xf numFmtId="0" fontId="14" fillId="0" borderId="0" xfId="3" applyFont="1" applyAlignment="1">
      <alignment horizontal="left" vertical="center"/>
    </xf>
    <xf numFmtId="0" fontId="13" fillId="0" borderId="1" xfId="3" applyFont="1" applyBorder="1" applyAlignment="1">
      <alignment horizontal="left" vertical="center"/>
    </xf>
    <xf numFmtId="0" fontId="14" fillId="0" borderId="1" xfId="3" applyFont="1" applyBorder="1" applyAlignment="1">
      <alignment horizontal="left" vertical="center"/>
    </xf>
    <xf numFmtId="0" fontId="14" fillId="0" borderId="0" xfId="3" applyFont="1"/>
    <xf numFmtId="0" fontId="17" fillId="0" borderId="0" xfId="3" applyFont="1" applyAlignment="1">
      <alignment horizontal="left" vertical="top"/>
    </xf>
    <xf numFmtId="0" fontId="17" fillId="0" borderId="0" xfId="3" applyFont="1" applyAlignment="1">
      <alignment wrapText="1"/>
    </xf>
    <xf numFmtId="0" fontId="19" fillId="0" borderId="0" xfId="3" applyFont="1"/>
    <xf numFmtId="0" fontId="17" fillId="0" borderId="0" xfId="3" applyFont="1" applyAlignment="1">
      <alignment vertical="top"/>
    </xf>
    <xf numFmtId="0" fontId="20" fillId="0" borderId="0" xfId="5" applyFont="1"/>
    <xf numFmtId="0" fontId="21" fillId="0" borderId="0" xfId="3" applyFont="1"/>
    <xf numFmtId="0" fontId="14" fillId="0" borderId="0" xfId="6" applyFont="1"/>
    <xf numFmtId="0" fontId="22" fillId="0" borderId="0" xfId="6" applyFont="1"/>
    <xf numFmtId="0" fontId="23" fillId="2" borderId="0" xfId="3" applyFont="1" applyFill="1" applyAlignment="1">
      <alignment vertical="center"/>
    </xf>
    <xf numFmtId="0" fontId="24" fillId="0" borderId="0" xfId="6" applyFont="1"/>
    <xf numFmtId="0" fontId="25" fillId="2" borderId="0" xfId="3" applyFont="1" applyFill="1" applyAlignment="1">
      <alignment vertical="center"/>
    </xf>
    <xf numFmtId="164" fontId="26" fillId="2" borderId="0" xfId="3" applyNumberFormat="1" applyFont="1" applyFill="1"/>
    <xf numFmtId="0" fontId="14" fillId="0" borderId="0" xfId="6" applyFont="1" applyAlignment="1">
      <alignment vertical="center"/>
    </xf>
    <xf numFmtId="0" fontId="27" fillId="0" borderId="0" xfId="6" applyFont="1" applyAlignment="1">
      <alignment horizontal="left" vertical="top"/>
    </xf>
    <xf numFmtId="0" fontId="28" fillId="3" borderId="0" xfId="6" applyFont="1" applyFill="1" applyAlignment="1">
      <alignment horizontal="left" vertical="top"/>
    </xf>
    <xf numFmtId="0" fontId="28" fillId="0" borderId="0" xfId="6" applyFont="1" applyAlignment="1">
      <alignment horizontal="left" vertical="top"/>
    </xf>
    <xf numFmtId="0" fontId="29" fillId="3" borderId="0" xfId="4" applyFont="1" applyFill="1" applyAlignment="1">
      <alignment vertical="top"/>
    </xf>
    <xf numFmtId="164" fontId="31" fillId="0" borderId="3" xfId="3" applyNumberFormat="1" applyFont="1" applyBorder="1"/>
    <xf numFmtId="164" fontId="4" fillId="0" borderId="3" xfId="3" applyNumberFormat="1" applyFont="1" applyBorder="1" applyAlignment="1">
      <alignment horizontal="right"/>
    </xf>
    <xf numFmtId="164" fontId="33" fillId="0" borderId="0" xfId="7" applyFont="1" applyAlignment="1">
      <alignment horizontal="left"/>
    </xf>
    <xf numFmtId="0" fontId="28" fillId="0" borderId="0" xfId="6" applyFont="1" applyAlignment="1" applyProtection="1">
      <alignment horizontal="left"/>
      <protection locked="0"/>
    </xf>
    <xf numFmtId="0" fontId="30" fillId="0" borderId="0" xfId="6" applyFont="1" applyProtection="1">
      <protection locked="0"/>
    </xf>
    <xf numFmtId="0" fontId="31" fillId="0" borderId="4" xfId="6" applyFont="1" applyBorder="1" applyAlignment="1" applyProtection="1">
      <alignment horizontal="left"/>
      <protection locked="0"/>
    </xf>
    <xf numFmtId="0" fontId="30" fillId="0" borderId="4" xfId="6" applyFont="1" applyBorder="1" applyProtection="1">
      <protection locked="0"/>
    </xf>
    <xf numFmtId="0" fontId="35" fillId="0" borderId="0" xfId="6" applyFont="1" applyAlignment="1" applyProtection="1">
      <alignment horizontal="right"/>
      <protection locked="0"/>
    </xf>
    <xf numFmtId="14" fontId="28" fillId="0" borderId="0" xfId="6" applyNumberFormat="1" applyFont="1" applyAlignment="1">
      <alignment horizontal="right"/>
    </xf>
    <xf numFmtId="0" fontId="14" fillId="0" borderId="0" xfId="6" applyFont="1" applyProtection="1">
      <protection locked="0"/>
    </xf>
    <xf numFmtId="0" fontId="36" fillId="0" borderId="0" xfId="3" applyFont="1"/>
    <xf numFmtId="0" fontId="37" fillId="0" borderId="0" xfId="6" applyFont="1"/>
    <xf numFmtId="0" fontId="2" fillId="0" borderId="0" xfId="6" applyFont="1"/>
    <xf numFmtId="0" fontId="37" fillId="0" borderId="0" xfId="6" applyFont="1" applyProtection="1">
      <protection locked="0"/>
    </xf>
    <xf numFmtId="0" fontId="38" fillId="0" borderId="5" xfId="6" applyFont="1" applyBorder="1" applyAlignment="1" applyProtection="1">
      <alignment horizontal="left"/>
      <protection locked="0"/>
    </xf>
    <xf numFmtId="0" fontId="30" fillId="0" borderId="5" xfId="6" applyFont="1" applyBorder="1" applyProtection="1">
      <protection locked="0"/>
    </xf>
    <xf numFmtId="0" fontId="39" fillId="0" borderId="0" xfId="3" applyFont="1"/>
    <xf numFmtId="0" fontId="40" fillId="0" borderId="0" xfId="6" applyFont="1"/>
    <xf numFmtId="164" fontId="41" fillId="0" borderId="3" xfId="3" applyNumberFormat="1" applyFont="1" applyBorder="1"/>
    <xf numFmtId="0" fontId="31" fillId="0" borderId="3" xfId="3" applyFont="1" applyBorder="1"/>
    <xf numFmtId="0" fontId="14" fillId="0" borderId="0" xfId="6" applyFont="1" applyAlignment="1">
      <alignment horizontal="center"/>
    </xf>
    <xf numFmtId="164" fontId="14" fillId="5" borderId="6" xfId="8" applyFont="1" applyFill="1" applyBorder="1" applyAlignment="1">
      <alignment horizontal="center"/>
    </xf>
    <xf numFmtId="164" fontId="10" fillId="5" borderId="6" xfId="8" applyFont="1" applyFill="1" applyBorder="1" applyAlignment="1">
      <alignment horizontal="center"/>
    </xf>
    <xf numFmtId="0" fontId="10" fillId="0" borderId="0" xfId="6" applyFont="1"/>
    <xf numFmtId="0" fontId="36" fillId="0" borderId="0" xfId="6" applyFont="1"/>
    <xf numFmtId="0" fontId="17" fillId="0" borderId="0" xfId="6" applyFont="1"/>
    <xf numFmtId="0" fontId="42" fillId="5" borderId="0" xfId="3" applyFont="1" applyFill="1"/>
    <xf numFmtId="164" fontId="42" fillId="5" borderId="0" xfId="9" applyFont="1" applyFill="1"/>
    <xf numFmtId="164" fontId="14" fillId="0" borderId="0" xfId="6" applyNumberFormat="1" applyFont="1"/>
    <xf numFmtId="164" fontId="44" fillId="0" borderId="9" xfId="3" applyNumberFormat="1" applyFont="1" applyBorder="1" applyAlignment="1">
      <alignment vertical="center" wrapText="1"/>
    </xf>
    <xf numFmtId="0" fontId="45" fillId="0" borderId="0" xfId="6" applyFont="1"/>
    <xf numFmtId="164" fontId="10" fillId="3" borderId="0" xfId="3" applyNumberFormat="1" applyFont="1" applyFill="1" applyAlignment="1">
      <alignment horizontal="center" vertical="center" wrapText="1"/>
    </xf>
    <xf numFmtId="0" fontId="46" fillId="0" borderId="0" xfId="3" applyFont="1" applyAlignment="1">
      <alignment horizontal="center"/>
    </xf>
    <xf numFmtId="164" fontId="47" fillId="0" borderId="0" xfId="3" applyNumberFormat="1" applyFont="1"/>
    <xf numFmtId="0" fontId="48" fillId="0" borderId="0" xfId="6" applyFont="1"/>
    <xf numFmtId="0" fontId="49" fillId="0" borderId="0" xfId="6" applyFont="1"/>
    <xf numFmtId="164" fontId="10" fillId="0" borderId="10" xfId="3" applyNumberFormat="1" applyFont="1" applyBorder="1" applyAlignment="1">
      <alignment horizontal="center"/>
    </xf>
    <xf numFmtId="4" fontId="14" fillId="0" borderId="11" xfId="3" applyNumberFormat="1" applyFont="1" applyBorder="1" applyAlignment="1">
      <alignment horizontal="center"/>
    </xf>
    <xf numFmtId="4" fontId="14" fillId="0" borderId="0" xfId="3" applyNumberFormat="1" applyFont="1" applyAlignment="1">
      <alignment horizontal="center"/>
    </xf>
    <xf numFmtId="4" fontId="14" fillId="0" borderId="10" xfId="10" applyNumberFormat="1" applyFont="1" applyBorder="1" applyAlignment="1">
      <alignment horizontal="left"/>
    </xf>
    <xf numFmtId="4" fontId="14" fillId="0" borderId="11" xfId="10" applyNumberFormat="1" applyFont="1" applyBorder="1" applyAlignment="1">
      <alignment horizontal="center"/>
    </xf>
    <xf numFmtId="3" fontId="14" fillId="0" borderId="11" xfId="10" applyNumberFormat="1" applyFont="1" applyBorder="1" applyAlignment="1">
      <alignment horizontal="center"/>
    </xf>
    <xf numFmtId="3" fontId="17" fillId="0" borderId="0" xfId="6" applyNumberFormat="1" applyFont="1"/>
    <xf numFmtId="0" fontId="50" fillId="0" borderId="0" xfId="6" applyFont="1"/>
    <xf numFmtId="164" fontId="51" fillId="6" borderId="12" xfId="3" applyNumberFormat="1" applyFont="1" applyFill="1" applyBorder="1" applyAlignment="1">
      <alignment horizontal="left" vertical="center"/>
    </xf>
    <xf numFmtId="164" fontId="10" fillId="0" borderId="13" xfId="3" applyNumberFormat="1" applyFont="1" applyBorder="1" applyAlignment="1" applyProtection="1">
      <alignment horizontal="center" vertical="center"/>
      <protection locked="0"/>
    </xf>
    <xf numFmtId="164" fontId="10" fillId="0" borderId="14" xfId="3" applyNumberFormat="1" applyFont="1" applyBorder="1" applyAlignment="1">
      <alignment horizontal="center"/>
    </xf>
    <xf numFmtId="4" fontId="14" fillId="0" borderId="15" xfId="3" applyNumberFormat="1" applyFont="1" applyBorder="1" applyAlignment="1">
      <alignment horizontal="center"/>
    </xf>
    <xf numFmtId="4" fontId="14" fillId="0" borderId="14" xfId="10" applyNumberFormat="1" applyFont="1" applyBorder="1" applyAlignment="1">
      <alignment horizontal="left"/>
    </xf>
    <xf numFmtId="4" fontId="14" fillId="0" borderId="15" xfId="10" applyNumberFormat="1" applyFont="1" applyBorder="1" applyAlignment="1">
      <alignment horizontal="center"/>
    </xf>
    <xf numFmtId="3" fontId="14" fillId="0" borderId="15" xfId="10" applyNumberFormat="1" applyFont="1" applyBorder="1" applyAlignment="1">
      <alignment horizontal="center"/>
    </xf>
    <xf numFmtId="164" fontId="51" fillId="6" borderId="16" xfId="3" applyNumberFormat="1" applyFont="1" applyFill="1" applyBorder="1" applyAlignment="1">
      <alignment horizontal="left" vertical="center"/>
    </xf>
    <xf numFmtId="165" fontId="10" fillId="0" borderId="17" xfId="3" applyNumberFormat="1" applyFont="1" applyBorder="1" applyAlignment="1" applyProtection="1">
      <alignment horizontal="center" vertical="center"/>
      <protection locked="0"/>
    </xf>
    <xf numFmtId="166" fontId="49" fillId="5" borderId="0" xfId="6" applyNumberFormat="1" applyFont="1" applyFill="1"/>
    <xf numFmtId="164" fontId="52" fillId="5" borderId="0" xfId="3" applyNumberFormat="1" applyFont="1" applyFill="1" applyAlignment="1">
      <alignment horizontal="left" vertical="center"/>
    </xf>
    <xf numFmtId="166" fontId="53" fillId="5" borderId="0" xfId="3" applyNumberFormat="1" applyFont="1" applyFill="1" applyAlignment="1" applyProtection="1">
      <alignment horizontal="center" vertical="center" wrapText="1"/>
      <protection locked="0"/>
    </xf>
    <xf numFmtId="164" fontId="35" fillId="7" borderId="18" xfId="3" applyNumberFormat="1" applyFont="1" applyFill="1" applyBorder="1" applyAlignment="1">
      <alignment horizontal="center" vertical="center"/>
    </xf>
    <xf numFmtId="164" fontId="33" fillId="7" borderId="18" xfId="3" applyNumberFormat="1" applyFont="1" applyFill="1" applyBorder="1" applyAlignment="1">
      <alignment horizontal="center" vertical="center"/>
    </xf>
    <xf numFmtId="4" fontId="10" fillId="0" borderId="0" xfId="3" applyNumberFormat="1" applyFont="1" applyAlignment="1">
      <alignment horizontal="center"/>
    </xf>
    <xf numFmtId="164" fontId="55" fillId="0" borderId="0" xfId="7" applyFont="1"/>
    <xf numFmtId="0" fontId="14" fillId="0" borderId="0" xfId="6" applyFont="1" applyAlignment="1">
      <alignment horizontal="right"/>
    </xf>
    <xf numFmtId="4" fontId="56" fillId="0" borderId="0" xfId="3" applyNumberFormat="1" applyFont="1" applyAlignment="1">
      <alignment wrapText="1"/>
    </xf>
    <xf numFmtId="164" fontId="14" fillId="0" borderId="0" xfId="7" applyFont="1"/>
    <xf numFmtId="164" fontId="55" fillId="0" borderId="0" xfId="7" applyFont="1" applyAlignment="1">
      <alignment vertical="top" wrapText="1"/>
    </xf>
    <xf numFmtId="164" fontId="57" fillId="0" borderId="0" xfId="7" applyFont="1" applyAlignment="1">
      <alignment vertical="top" wrapText="1"/>
    </xf>
    <xf numFmtId="0" fontId="46" fillId="0" borderId="0" xfId="6" applyFont="1"/>
    <xf numFmtId="164" fontId="14" fillId="0" borderId="0" xfId="7" applyFont="1" applyAlignment="1">
      <alignment wrapText="1"/>
    </xf>
    <xf numFmtId="4" fontId="14" fillId="0" borderId="22" xfId="10" applyNumberFormat="1" applyFont="1" applyBorder="1" applyAlignment="1">
      <alignment horizontal="left"/>
    </xf>
    <xf numFmtId="4" fontId="14" fillId="0" borderId="23" xfId="10" applyNumberFormat="1" applyFont="1" applyBorder="1" applyAlignment="1">
      <alignment horizontal="center"/>
    </xf>
    <xf numFmtId="3" fontId="14" fillId="0" borderId="23" xfId="10" applyNumberFormat="1" applyFont="1" applyBorder="1" applyAlignment="1">
      <alignment horizontal="center"/>
    </xf>
    <xf numFmtId="3" fontId="14" fillId="0" borderId="24" xfId="10" applyNumberFormat="1" applyFont="1" applyBorder="1" applyAlignment="1">
      <alignment horizontal="center"/>
    </xf>
    <xf numFmtId="4" fontId="14" fillId="0" borderId="24" xfId="10" applyNumberFormat="1" applyFont="1" applyBorder="1" applyAlignment="1">
      <alignment horizontal="center"/>
    </xf>
    <xf numFmtId="4" fontId="14" fillId="0" borderId="24" xfId="10" applyNumberFormat="1" applyFont="1" applyBorder="1" applyAlignment="1">
      <alignment horizontal="left"/>
    </xf>
    <xf numFmtId="164" fontId="10" fillId="0" borderId="25" xfId="3" applyNumberFormat="1" applyFont="1" applyBorder="1" applyAlignment="1">
      <alignment horizontal="center"/>
    </xf>
    <xf numFmtId="4" fontId="14" fillId="0" borderId="26" xfId="3" applyNumberFormat="1" applyFont="1" applyBorder="1" applyAlignment="1">
      <alignment horizontal="center"/>
    </xf>
    <xf numFmtId="164" fontId="17" fillId="0" borderId="0" xfId="7" applyFont="1"/>
    <xf numFmtId="164" fontId="50" fillId="0" borderId="0" xfId="7" applyFont="1"/>
    <xf numFmtId="164" fontId="58" fillId="0" borderId="0" xfId="7" applyFont="1" applyAlignment="1">
      <alignment horizontal="right"/>
    </xf>
    <xf numFmtId="0" fontId="10" fillId="9" borderId="27" xfId="3" applyFont="1" applyFill="1" applyBorder="1" applyAlignment="1">
      <alignment horizontal="center" wrapText="1"/>
    </xf>
    <xf numFmtId="167" fontId="10" fillId="9" borderId="27" xfId="3" applyNumberFormat="1" applyFont="1" applyFill="1" applyBorder="1" applyAlignment="1">
      <alignment horizontal="center" vertical="center"/>
    </xf>
    <xf numFmtId="164" fontId="46" fillId="0" borderId="0" xfId="7" applyFont="1" applyProtection="1">
      <protection locked="0"/>
    </xf>
    <xf numFmtId="15" fontId="17" fillId="0" borderId="0" xfId="6" applyNumberFormat="1" applyFont="1" applyProtection="1">
      <protection locked="0"/>
    </xf>
    <xf numFmtId="168" fontId="17" fillId="0" borderId="0" xfId="6" applyNumberFormat="1" applyFont="1"/>
    <xf numFmtId="0" fontId="59" fillId="0" borderId="0" xfId="6" applyFont="1"/>
    <xf numFmtId="169" fontId="46" fillId="0" borderId="0" xfId="2" applyNumberFormat="1" applyFont="1" applyAlignment="1">
      <alignment horizontal="left"/>
    </xf>
    <xf numFmtId="164" fontId="46" fillId="0" borderId="4" xfId="7" applyFont="1" applyBorder="1"/>
    <xf numFmtId="44" fontId="46" fillId="0" borderId="4" xfId="1" applyFont="1" applyFill="1" applyBorder="1" applyProtection="1"/>
    <xf numFmtId="0" fontId="17" fillId="0" borderId="0" xfId="3" applyFont="1"/>
    <xf numFmtId="0" fontId="46" fillId="0" borderId="0" xfId="3" applyFont="1"/>
    <xf numFmtId="164" fontId="46" fillId="0" borderId="0" xfId="7" applyFont="1" applyAlignment="1">
      <alignment horizontal="center"/>
    </xf>
    <xf numFmtId="0" fontId="60" fillId="0" borderId="0" xfId="3" applyFont="1" applyAlignment="1">
      <alignment horizontal="center"/>
    </xf>
    <xf numFmtId="14" fontId="59" fillId="0" borderId="0" xfId="3" applyNumberFormat="1" applyFont="1" applyAlignment="1" applyProtection="1">
      <alignment horizontal="left"/>
      <protection locked="0"/>
    </xf>
    <xf numFmtId="0" fontId="61" fillId="0" borderId="0" xfId="3" applyFont="1"/>
    <xf numFmtId="3" fontId="46" fillId="0" borderId="0" xfId="7" applyNumberFormat="1" applyFont="1" applyAlignment="1">
      <alignment horizontal="center" vertical="center" wrapText="1"/>
    </xf>
    <xf numFmtId="14" fontId="62" fillId="0" borderId="0" xfId="3" applyNumberFormat="1" applyFont="1" applyProtection="1">
      <protection locked="0"/>
    </xf>
    <xf numFmtId="3" fontId="46" fillId="0" borderId="0" xfId="6" applyNumberFormat="1" applyFont="1" applyAlignment="1">
      <alignment horizontal="right"/>
    </xf>
    <xf numFmtId="0" fontId="46" fillId="0" borderId="0" xfId="7" applyNumberFormat="1" applyFont="1" applyAlignment="1">
      <alignment vertical="center"/>
    </xf>
    <xf numFmtId="4" fontId="14" fillId="5" borderId="6" xfId="8" applyNumberFormat="1" applyFont="1" applyFill="1" applyBorder="1" applyAlignment="1">
      <alignment horizontal="center"/>
    </xf>
    <xf numFmtId="14" fontId="17" fillId="0" borderId="0" xfId="3" applyNumberFormat="1" applyFont="1" applyAlignment="1">
      <alignment horizontal="left" vertical="top"/>
    </xf>
    <xf numFmtId="4" fontId="17" fillId="0" borderId="0" xfId="6" applyNumberFormat="1" applyFont="1" applyAlignment="1">
      <alignment horizontal="center"/>
    </xf>
    <xf numFmtId="4" fontId="14" fillId="0" borderId="0" xfId="8" applyNumberFormat="1" applyFont="1" applyAlignment="1">
      <alignment horizontal="center"/>
    </xf>
    <xf numFmtId="0" fontId="17" fillId="10" borderId="0" xfId="3" applyFont="1" applyFill="1" applyAlignment="1">
      <alignment horizontal="left" vertical="top"/>
    </xf>
    <xf numFmtId="14" fontId="17" fillId="0" borderId="0" xfId="3" applyNumberFormat="1" applyFont="1" applyAlignment="1">
      <alignment horizontal="right"/>
    </xf>
    <xf numFmtId="164" fontId="4" fillId="0" borderId="28" xfId="3" applyNumberFormat="1" applyFont="1" applyBorder="1"/>
    <xf numFmtId="164" fontId="4" fillId="0" borderId="28" xfId="3" applyNumberFormat="1" applyFont="1" applyBorder="1" applyAlignment="1">
      <alignment vertical="center"/>
    </xf>
    <xf numFmtId="0" fontId="10" fillId="11" borderId="0" xfId="3" applyFont="1" applyFill="1"/>
    <xf numFmtId="0" fontId="14" fillId="11" borderId="0" xfId="3" applyFont="1" applyFill="1"/>
    <xf numFmtId="0" fontId="14" fillId="0" borderId="0" xfId="3" applyFont="1" applyAlignment="1">
      <alignment horizontal="left"/>
    </xf>
    <xf numFmtId="14" fontId="14" fillId="0" borderId="0" xfId="3" applyNumberFormat="1" applyFont="1" applyAlignment="1">
      <alignment horizontal="left"/>
    </xf>
    <xf numFmtId="170" fontId="10" fillId="0" borderId="0" xfId="3" applyNumberFormat="1" applyFont="1" applyAlignment="1">
      <alignment horizontal="left" wrapText="1"/>
    </xf>
    <xf numFmtId="170" fontId="14" fillId="0" borderId="0" xfId="3" applyNumberFormat="1" applyFont="1" applyAlignment="1">
      <alignment wrapText="1"/>
    </xf>
    <xf numFmtId="4" fontId="10" fillId="5" borderId="6" xfId="8" applyNumberFormat="1" applyFont="1" applyFill="1" applyBorder="1" applyAlignment="1">
      <alignment horizontal="center"/>
    </xf>
    <xf numFmtId="0" fontId="63" fillId="0" borderId="0" xfId="6" applyFont="1"/>
    <xf numFmtId="0" fontId="64" fillId="0" borderId="0" xfId="6" applyFont="1"/>
    <xf numFmtId="4" fontId="10" fillId="0" borderId="0" xfId="8" applyNumberFormat="1" applyFont="1" applyAlignment="1">
      <alignment horizontal="center"/>
    </xf>
    <xf numFmtId="0" fontId="58" fillId="0" borderId="0" xfId="6" applyFont="1"/>
    <xf numFmtId="171" fontId="14" fillId="5" borderId="6" xfId="8" applyNumberFormat="1" applyFont="1" applyFill="1" applyBorder="1" applyAlignment="1">
      <alignment horizontal="center"/>
    </xf>
    <xf numFmtId="2" fontId="17" fillId="0" borderId="0" xfId="6" applyNumberFormat="1" applyFont="1"/>
    <xf numFmtId="0" fontId="61" fillId="0" borderId="0" xfId="6" applyFont="1"/>
    <xf numFmtId="164" fontId="65" fillId="2" borderId="0" xfId="3" applyNumberFormat="1" applyFont="1" applyFill="1"/>
    <xf numFmtId="0" fontId="1" fillId="0" borderId="0" xfId="11"/>
    <xf numFmtId="164" fontId="26" fillId="3" borderId="0" xfId="3" applyNumberFormat="1" applyFont="1" applyFill="1" applyAlignment="1">
      <alignment vertical="top"/>
    </xf>
    <xf numFmtId="164" fontId="26" fillId="10" borderId="0" xfId="3" applyNumberFormat="1" applyFont="1" applyFill="1"/>
    <xf numFmtId="164" fontId="66" fillId="10" borderId="0" xfId="3" applyNumberFormat="1" applyFont="1" applyFill="1"/>
    <xf numFmtId="164" fontId="65" fillId="10" borderId="0" xfId="3" applyNumberFormat="1" applyFont="1" applyFill="1" applyAlignment="1">
      <alignment horizontal="left"/>
    </xf>
    <xf numFmtId="164" fontId="66" fillId="10" borderId="0" xfId="3" applyNumberFormat="1" applyFont="1" applyFill="1" applyAlignment="1">
      <alignment wrapText="1"/>
    </xf>
    <xf numFmtId="164" fontId="65" fillId="10" borderId="0" xfId="3" applyNumberFormat="1" applyFont="1" applyFill="1"/>
    <xf numFmtId="164" fontId="26" fillId="10" borderId="0" xfId="3" applyNumberFormat="1" applyFont="1" applyFill="1" applyAlignment="1">
      <alignment vertical="center"/>
    </xf>
    <xf numFmtId="0" fontId="43" fillId="12" borderId="0" xfId="12" applyFont="1" applyFill="1" applyAlignment="1">
      <alignment vertical="center" wrapText="1"/>
    </xf>
    <xf numFmtId="0" fontId="43" fillId="12" borderId="0" xfId="12" applyFont="1" applyFill="1" applyAlignment="1">
      <alignment horizontal="center" vertical="center" wrapText="1"/>
    </xf>
    <xf numFmtId="0" fontId="67" fillId="0" borderId="0" xfId="11" applyFont="1"/>
    <xf numFmtId="0" fontId="37" fillId="10" borderId="0" xfId="3" applyFont="1" applyFill="1"/>
    <xf numFmtId="0" fontId="37" fillId="10" borderId="28" xfId="3" applyFont="1" applyFill="1" applyBorder="1" applyAlignment="1">
      <alignment horizontal="left" vertical="center" wrapText="1" indent="1"/>
    </xf>
    <xf numFmtId="0" fontId="37" fillId="10" borderId="0" xfId="3" applyFont="1" applyFill="1" applyAlignment="1">
      <alignment horizontal="left" vertical="center" wrapText="1" indent="1"/>
    </xf>
    <xf numFmtId="0" fontId="37" fillId="10" borderId="0" xfId="3" applyFont="1" applyFill="1" applyAlignment="1">
      <alignment horizontal="left" vertical="center" wrapText="1"/>
    </xf>
    <xf numFmtId="0" fontId="37" fillId="10" borderId="28" xfId="12" applyFont="1" applyFill="1" applyBorder="1" applyAlignment="1">
      <alignment horizontal="center" vertical="center" wrapText="1"/>
    </xf>
    <xf numFmtId="0" fontId="37" fillId="10" borderId="29" xfId="3" applyFont="1" applyFill="1" applyBorder="1" applyAlignment="1">
      <alignment horizontal="left" vertical="center" wrapText="1" indent="1"/>
    </xf>
    <xf numFmtId="0" fontId="37" fillId="10" borderId="30" xfId="3" applyFont="1" applyFill="1" applyBorder="1" applyAlignment="1">
      <alignment horizontal="left" vertical="center" wrapText="1" indent="1"/>
    </xf>
    <xf numFmtId="0" fontId="37" fillId="10" borderId="30" xfId="3" applyFont="1" applyFill="1" applyBorder="1" applyAlignment="1">
      <alignment horizontal="left" vertical="center" wrapText="1"/>
    </xf>
    <xf numFmtId="172" fontId="37" fillId="10" borderId="29" xfId="3" applyNumberFormat="1" applyFont="1" applyFill="1" applyBorder="1" applyAlignment="1">
      <alignment horizontal="center" vertical="center" wrapText="1"/>
    </xf>
    <xf numFmtId="0" fontId="37" fillId="10" borderId="30" xfId="12" applyFont="1" applyFill="1" applyBorder="1" applyAlignment="1">
      <alignment horizontal="left" vertical="center" wrapText="1" indent="1"/>
    </xf>
    <xf numFmtId="0" fontId="37" fillId="10" borderId="29" xfId="12" applyFont="1" applyFill="1" applyBorder="1" applyAlignment="1">
      <alignment horizontal="left" vertical="center" wrapText="1" indent="1"/>
    </xf>
    <xf numFmtId="0" fontId="37" fillId="10" borderId="29" xfId="3" applyFont="1" applyFill="1" applyBorder="1" applyAlignment="1">
      <alignment horizontal="left" vertical="center" wrapText="1"/>
    </xf>
    <xf numFmtId="0" fontId="37" fillId="13" borderId="0" xfId="3" applyFont="1" applyFill="1" applyAlignment="1">
      <alignment horizontal="left" vertical="top" wrapText="1"/>
    </xf>
    <xf numFmtId="0" fontId="37" fillId="10" borderId="0" xfId="12" applyFont="1" applyFill="1" applyAlignment="1">
      <alignment horizontal="left" vertical="center" wrapText="1" indent="1"/>
    </xf>
    <xf numFmtId="0" fontId="37" fillId="10" borderId="0" xfId="3" applyFont="1" applyFill="1" applyAlignment="1">
      <alignment horizontal="center" vertical="center"/>
    </xf>
    <xf numFmtId="0" fontId="69" fillId="10" borderId="0" xfId="3" applyFont="1" applyFill="1"/>
    <xf numFmtId="0" fontId="70" fillId="10" borderId="0" xfId="3" applyFont="1" applyFill="1" applyAlignment="1">
      <alignment horizontal="left"/>
    </xf>
    <xf numFmtId="0" fontId="70" fillId="10" borderId="0" xfId="3" applyFont="1" applyFill="1"/>
    <xf numFmtId="0" fontId="71" fillId="0" borderId="0" xfId="11" applyFont="1"/>
    <xf numFmtId="164" fontId="72" fillId="10" borderId="0" xfId="3" applyNumberFormat="1" applyFont="1" applyFill="1"/>
    <xf numFmtId="164" fontId="31" fillId="10" borderId="0" xfId="3" applyNumberFormat="1" applyFont="1" applyFill="1" applyAlignment="1">
      <alignment horizontal="left" vertical="center"/>
    </xf>
    <xf numFmtId="164" fontId="31" fillId="10" borderId="0" xfId="3" applyNumberFormat="1" applyFont="1" applyFill="1" applyAlignment="1">
      <alignment vertical="center"/>
    </xf>
    <xf numFmtId="0" fontId="37" fillId="10" borderId="28" xfId="3" applyFont="1" applyFill="1" applyBorder="1" applyAlignment="1">
      <alignment horizontal="left" vertical="center" wrapText="1"/>
    </xf>
    <xf numFmtId="172" fontId="37" fillId="10" borderId="28" xfId="3" applyNumberFormat="1" applyFont="1" applyFill="1" applyBorder="1" applyAlignment="1">
      <alignment horizontal="center" vertical="center" wrapText="1"/>
    </xf>
    <xf numFmtId="0" fontId="1" fillId="0" borderId="0" xfId="13"/>
    <xf numFmtId="0" fontId="37" fillId="10" borderId="30" xfId="3" applyFont="1" applyFill="1" applyBorder="1"/>
    <xf numFmtId="0" fontId="35" fillId="10" borderId="30" xfId="3" applyFont="1" applyFill="1" applyBorder="1"/>
    <xf numFmtId="0" fontId="73" fillId="10" borderId="0" xfId="3" applyFont="1" applyFill="1"/>
    <xf numFmtId="0" fontId="66" fillId="10" borderId="0" xfId="3" applyFont="1" applyFill="1"/>
    <xf numFmtId="0" fontId="73" fillId="0" borderId="0" xfId="3" applyFont="1"/>
    <xf numFmtId="0" fontId="66" fillId="0" borderId="0" xfId="3" applyFont="1"/>
    <xf numFmtId="164" fontId="31" fillId="0" borderId="3" xfId="3" applyNumberFormat="1" applyFont="1" applyBorder="1" applyProtection="1"/>
    <xf numFmtId="0" fontId="64" fillId="14" borderId="0" xfId="6" applyFont="1" applyFill="1"/>
    <xf numFmtId="0" fontId="6" fillId="4" borderId="0" xfId="3" applyFont="1" applyFill="1" applyAlignment="1">
      <alignment horizontal="center" vertical="center"/>
    </xf>
    <xf numFmtId="0" fontId="9" fillId="0" borderId="0" xfId="3" applyFont="1" applyAlignment="1">
      <alignment horizontal="left" vertical="top" wrapText="1"/>
    </xf>
    <xf numFmtId="0" fontId="10" fillId="0" borderId="2" xfId="3" applyFont="1" applyBorder="1" applyAlignment="1">
      <alignment horizontal="center" vertical="center" wrapText="1"/>
    </xf>
    <xf numFmtId="0" fontId="10" fillId="0" borderId="2" xfId="3" applyFont="1" applyBorder="1" applyAlignment="1">
      <alignment horizontal="center" vertical="center"/>
    </xf>
    <xf numFmtId="0" fontId="10" fillId="0" borderId="0" xfId="3" applyFont="1" applyAlignment="1">
      <alignment horizontal="center" vertical="center"/>
    </xf>
    <xf numFmtId="0" fontId="10" fillId="0" borderId="1" xfId="3" applyFont="1" applyBorder="1" applyAlignment="1">
      <alignment horizontal="center" vertical="center"/>
    </xf>
    <xf numFmtId="0" fontId="14" fillId="0" borderId="2" xfId="3" applyFont="1" applyBorder="1" applyAlignment="1">
      <alignment horizontal="left" vertical="center" wrapText="1"/>
    </xf>
    <xf numFmtId="0" fontId="14" fillId="0" borderId="1" xfId="3" applyFont="1" applyBorder="1" applyAlignment="1">
      <alignment horizontal="left" vertical="center" wrapText="1"/>
    </xf>
    <xf numFmtId="164" fontId="43" fillId="0" borderId="7" xfId="3" applyNumberFormat="1" applyFont="1" applyBorder="1" applyAlignment="1">
      <alignment horizontal="center" vertical="center" wrapText="1"/>
    </xf>
    <xf numFmtId="164" fontId="43" fillId="0" borderId="8" xfId="3" applyNumberFormat="1" applyFont="1" applyBorder="1" applyAlignment="1">
      <alignment horizontal="center" vertical="center" wrapText="1"/>
    </xf>
    <xf numFmtId="164" fontId="43" fillId="7" borderId="18" xfId="3" applyNumberFormat="1" applyFont="1" applyFill="1" applyBorder="1" applyAlignment="1">
      <alignment horizontal="center" vertical="center" wrapText="1"/>
    </xf>
    <xf numFmtId="164" fontId="43" fillId="7" borderId="20" xfId="3" applyNumberFormat="1" applyFont="1" applyFill="1" applyBorder="1" applyAlignment="1">
      <alignment horizontal="center" vertical="center" wrapText="1"/>
    </xf>
    <xf numFmtId="4" fontId="54" fillId="8" borderId="19" xfId="3" applyNumberFormat="1" applyFont="1" applyFill="1" applyBorder="1" applyAlignment="1">
      <alignment horizontal="center" vertical="center" wrapText="1"/>
    </xf>
    <xf numFmtId="4" fontId="54" fillId="8" borderId="21" xfId="3" applyNumberFormat="1" applyFont="1" applyFill="1" applyBorder="1" applyAlignment="1">
      <alignment horizontal="center" vertical="center" wrapText="1"/>
    </xf>
    <xf numFmtId="0" fontId="37" fillId="10" borderId="30" xfId="3" applyFont="1" applyFill="1" applyBorder="1" applyAlignment="1">
      <alignment horizontal="left" vertical="center" wrapText="1" indent="1"/>
    </xf>
    <xf numFmtId="0" fontId="37" fillId="10" borderId="28" xfId="3" applyFont="1" applyFill="1" applyBorder="1" applyAlignment="1">
      <alignment horizontal="left" vertical="center" wrapText="1" indent="1"/>
    </xf>
    <xf numFmtId="0" fontId="43" fillId="12" borderId="0" xfId="12" applyFont="1" applyFill="1" applyAlignment="1">
      <alignment horizontal="center" vertical="center" wrapText="1"/>
    </xf>
  </cellXfs>
  <cellStyles count="14">
    <cellStyle name="Currency" xfId="1" builtinId="4"/>
    <cellStyle name="Normal" xfId="0" builtinId="0"/>
    <cellStyle name="Normal 10" xfId="5" xr:uid="{97ED7FEA-8538-4B04-BCFF-BD3F1A7D20BB}"/>
    <cellStyle name="Normal 2" xfId="3" xr:uid="{139828D7-0C75-49B6-9C0A-056DC7E6A771}"/>
    <cellStyle name="Normal 4 2 4" xfId="13" xr:uid="{BDBCF432-6C96-4BA2-AE35-9FA4510FEFCA}"/>
    <cellStyle name="Normal 6 8" xfId="11" xr:uid="{A6262F7B-148E-49CD-8412-3FD9474727C8}"/>
    <cellStyle name="Normal_Copy of Construye Tarifas_Economy Select_Internacional_Dtos por Banda de peso o Zona_2" xfId="8" xr:uid="{B6A7246F-F727-41D9-BDC2-E91BB1FABDDB}"/>
    <cellStyle name="Normal_Copy of Construye Tarifas_Economy Select_Internacional_Netas_kgs" xfId="9" xr:uid="{404970DC-6230-492C-B04A-70E51EDE49E9}"/>
    <cellStyle name="Normal_Custommer summary_without comments" xfId="4" xr:uid="{4E363433-132A-4339-91FC-9A4AD85EB825}"/>
    <cellStyle name="Normal_DHL ECONOMY SELECT INTERNACIONAL_Export_2012_clientes nuevos" xfId="10" xr:uid="{2FEAC7F3-9004-4381-AE06-A081D37D13BF}"/>
    <cellStyle name="Normal_DHLEUROPLUS INTERNACIONAL España_Personalizada" xfId="6" xr:uid="{A4D28890-41CB-415C-AAF7-7946BCBEA980}"/>
    <cellStyle name="Normal_FORMATO_TARIFA_CLIENTES_2004v2" xfId="7" xr:uid="{0C4BA750-821A-4F47-A236-7454CD0963EC}"/>
    <cellStyle name="Normal_Value_Added_Surcharges_v2" xfId="12" xr:uid="{F21357BB-7D0E-4B70-BC75-1575B72F11E4}"/>
    <cellStyle name="Percent" xfId="2" builtinId="5"/>
  </cellStyles>
  <dxfs count="4">
    <dxf>
      <font>
        <b/>
        <i val="0"/>
      </font>
      <fill>
        <patternFill>
          <bgColor rgb="FFFFFFCC"/>
        </patternFill>
      </fill>
    </dxf>
    <dxf>
      <font>
        <b/>
        <i val="0"/>
      </font>
      <fill>
        <patternFill>
          <bgColor rgb="FFFFFFCC"/>
        </patternFill>
      </fill>
    </dxf>
    <dxf>
      <fill>
        <patternFill>
          <bgColor theme="7" tint="0.79998168889431442"/>
        </patternFill>
      </fill>
    </dxf>
    <dxf>
      <fill>
        <patternFill>
          <bgColor rgb="FFFFFFCC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FFE781"/>
      <rgbColor rgb="00FFFFFF"/>
      <rgbColor rgb="00D40511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Relationship Id="rId9" Type="http://schemas.openxmlformats.org/officeDocument/2006/relationships/image" Target="../media/image9.jp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16810</xdr:colOff>
      <xdr:row>15</xdr:row>
      <xdr:rowOff>72037</xdr:rowOff>
    </xdr:from>
    <xdr:to>
      <xdr:col>8</xdr:col>
      <xdr:colOff>207310</xdr:colOff>
      <xdr:row>16</xdr:row>
      <xdr:rowOff>702469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7A5D9708-C692-4031-824D-BCE7A59D9A73}"/>
            </a:ext>
          </a:extLst>
        </xdr:cNvPr>
        <xdr:cNvSpPr txBox="1"/>
      </xdr:nvSpPr>
      <xdr:spPr>
        <a:xfrm>
          <a:off x="293035" y="12406912"/>
          <a:ext cx="5191125" cy="112573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br>
            <a:rPr lang="es-ES" sz="1100">
              <a:solidFill>
                <a:srgbClr val="D40511"/>
              </a:solidFill>
              <a:latin typeface="Delivery Cd Light" panose="020F0406020204020204" pitchFamily="34" charset="0"/>
            </a:rPr>
          </a:br>
          <a:r>
            <a:rPr lang="es-ES" sz="2000">
              <a:solidFill>
                <a:srgbClr val="D40511"/>
              </a:solidFill>
              <a:latin typeface="+mn-lt"/>
            </a:rPr>
            <a:t>DHL PARCEL CONNECT PLUS </a:t>
          </a:r>
          <a:r>
            <a:rPr lang="es-ES" sz="2000" baseline="0">
              <a:solidFill>
                <a:srgbClr val="D40511"/>
              </a:solidFill>
              <a:latin typeface="+mn-lt"/>
            </a:rPr>
            <a:t> </a:t>
          </a:r>
          <a:r>
            <a:rPr lang="es-ES" sz="2400" b="1">
              <a:solidFill>
                <a:srgbClr val="D40511"/>
              </a:solidFill>
              <a:latin typeface="+mn-lt"/>
            </a:rPr>
            <a:t>CONSIDERACIONES ESPECÍFICAS</a:t>
          </a:r>
        </a:p>
        <a:p>
          <a:endParaRPr lang="es-ES" sz="1100"/>
        </a:p>
      </xdr:txBody>
    </xdr:sp>
    <xdr:clientData/>
  </xdr:twoCellAnchor>
  <xdr:twoCellAnchor>
    <xdr:from>
      <xdr:col>1</xdr:col>
      <xdr:colOff>586133</xdr:colOff>
      <xdr:row>51</xdr:row>
      <xdr:rowOff>106658</xdr:rowOff>
    </xdr:from>
    <xdr:to>
      <xdr:col>11</xdr:col>
      <xdr:colOff>160683</xdr:colOff>
      <xdr:row>51</xdr:row>
      <xdr:rowOff>113008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47A6F945-D805-4F8D-AFDF-EBF1C879789F}"/>
            </a:ext>
          </a:extLst>
        </xdr:cNvPr>
        <xdr:cNvCxnSpPr/>
      </xdr:nvCxnSpPr>
      <xdr:spPr>
        <a:xfrm>
          <a:off x="862358" y="20461583"/>
          <a:ext cx="6623050" cy="635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584200</xdr:colOff>
      <xdr:row>52</xdr:row>
      <xdr:rowOff>90645</xdr:rowOff>
    </xdr:from>
    <xdr:to>
      <xdr:col>11</xdr:col>
      <xdr:colOff>158750</xdr:colOff>
      <xdr:row>52</xdr:row>
      <xdr:rowOff>96995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26C4B47B-E612-4D37-AEBD-052B7D12A5B2}"/>
            </a:ext>
          </a:extLst>
        </xdr:cNvPr>
        <xdr:cNvCxnSpPr/>
      </xdr:nvCxnSpPr>
      <xdr:spPr>
        <a:xfrm>
          <a:off x="860425" y="20607495"/>
          <a:ext cx="6623050" cy="635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590550</xdr:colOff>
      <xdr:row>53</xdr:row>
      <xdr:rowOff>109696</xdr:rowOff>
    </xdr:from>
    <xdr:to>
      <xdr:col>11</xdr:col>
      <xdr:colOff>165100</xdr:colOff>
      <xdr:row>53</xdr:row>
      <xdr:rowOff>116046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id="{C1B69225-49F9-4C6C-8051-774EAF92B731}"/>
            </a:ext>
          </a:extLst>
        </xdr:cNvPr>
        <xdr:cNvCxnSpPr/>
      </xdr:nvCxnSpPr>
      <xdr:spPr>
        <a:xfrm>
          <a:off x="866775" y="20788471"/>
          <a:ext cx="6623050" cy="635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584200</xdr:colOff>
      <xdr:row>54</xdr:row>
      <xdr:rowOff>134518</xdr:rowOff>
    </xdr:from>
    <xdr:to>
      <xdr:col>11</xdr:col>
      <xdr:colOff>158750</xdr:colOff>
      <xdr:row>54</xdr:row>
      <xdr:rowOff>140868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6FAF573E-777C-42BE-9A97-B0CEBF6C9CB1}"/>
            </a:ext>
          </a:extLst>
        </xdr:cNvPr>
        <xdr:cNvCxnSpPr/>
      </xdr:nvCxnSpPr>
      <xdr:spPr>
        <a:xfrm>
          <a:off x="860425" y="20975218"/>
          <a:ext cx="6623050" cy="635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478170</xdr:colOff>
      <xdr:row>6</xdr:row>
      <xdr:rowOff>268498</xdr:rowOff>
    </xdr:from>
    <xdr:to>
      <xdr:col>5</xdr:col>
      <xdr:colOff>624416</xdr:colOff>
      <xdr:row>7</xdr:row>
      <xdr:rowOff>867212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2470A094-04BD-44F8-8ADD-0EEC7C8D66BA}"/>
            </a:ext>
          </a:extLst>
        </xdr:cNvPr>
        <xdr:cNvSpPr txBox="1"/>
      </xdr:nvSpPr>
      <xdr:spPr>
        <a:xfrm>
          <a:off x="1516395" y="5450098"/>
          <a:ext cx="2432246" cy="100828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s-ES" sz="1200" b="1">
            <a:latin typeface="Delivery" panose="020F0503020204020204" pitchFamily="34" charset="0"/>
          </a:endParaRPr>
        </a:p>
      </xdr:txBody>
    </xdr:sp>
    <xdr:clientData/>
  </xdr:twoCellAnchor>
  <xdr:twoCellAnchor>
    <xdr:from>
      <xdr:col>1</xdr:col>
      <xdr:colOff>758600</xdr:colOff>
      <xdr:row>12</xdr:row>
      <xdr:rowOff>2584408</xdr:rowOff>
    </xdr:from>
    <xdr:to>
      <xdr:col>5</xdr:col>
      <xdr:colOff>404255</xdr:colOff>
      <xdr:row>12</xdr:row>
      <xdr:rowOff>3585717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4E57F1EE-930B-47A9-B39C-D5004B9A0A22}"/>
            </a:ext>
          </a:extLst>
        </xdr:cNvPr>
        <xdr:cNvSpPr txBox="1"/>
      </xdr:nvSpPr>
      <xdr:spPr>
        <a:xfrm>
          <a:off x="1034825" y="9890083"/>
          <a:ext cx="2693655" cy="10013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1400" b="1" baseline="0">
              <a:latin typeface="+mn-lt"/>
            </a:rPr>
            <a:t>4 delegaciones con conexiones</a:t>
          </a:r>
        </a:p>
        <a:p>
          <a:r>
            <a:rPr lang="es-ES" sz="1400" b="1" baseline="0">
              <a:latin typeface="+mn-lt"/>
            </a:rPr>
            <a:t>internacionales</a:t>
          </a:r>
        </a:p>
        <a:p>
          <a:r>
            <a:rPr lang="es-ES" sz="1400" b="0" baseline="0">
              <a:latin typeface="+mn-lt"/>
            </a:rPr>
            <a:t>Barcelona, Madrid, Vitoria, Lisboa</a:t>
          </a:r>
        </a:p>
      </xdr:txBody>
    </xdr:sp>
    <xdr:clientData/>
  </xdr:twoCellAnchor>
  <xdr:twoCellAnchor>
    <xdr:from>
      <xdr:col>0</xdr:col>
      <xdr:colOff>44824</xdr:colOff>
      <xdr:row>16</xdr:row>
      <xdr:rowOff>593912</xdr:rowOff>
    </xdr:from>
    <xdr:to>
      <xdr:col>11</xdr:col>
      <xdr:colOff>728063</xdr:colOff>
      <xdr:row>16</xdr:row>
      <xdr:rowOff>1128798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7B89026E-2338-4863-903D-9C8221249199}"/>
            </a:ext>
          </a:extLst>
        </xdr:cNvPr>
        <xdr:cNvSpPr txBox="1"/>
      </xdr:nvSpPr>
      <xdr:spPr>
        <a:xfrm>
          <a:off x="44824" y="13424087"/>
          <a:ext cx="8007964" cy="534886"/>
        </a:xfrm>
        <a:prstGeom prst="rect">
          <a:avLst/>
        </a:prstGeom>
        <a:solidFill>
          <a:srgbClr val="EAEAE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ES" sz="1200" b="1">
              <a:latin typeface="Calibri" panose="020F0502020204030204" pitchFamily="34" charset="0"/>
              <a:cs typeface="Calibri" panose="020F0502020204030204" pitchFamily="34" charset="0"/>
            </a:rPr>
            <a:t>Especificaciones</a:t>
          </a:r>
          <a:r>
            <a:rPr lang="es-ES" sz="1200" b="1" baseline="0">
              <a:latin typeface="Calibri" panose="020F0502020204030204" pitchFamily="34" charset="0"/>
              <a:cs typeface="Calibri" panose="020F0502020204030204" pitchFamily="34" charset="0"/>
            </a:rPr>
            <a:t> del servicio DHL Parcel Connect Plus</a:t>
          </a:r>
          <a:endParaRPr lang="es-ES" sz="1200" b="1">
            <a:latin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oneCellAnchor>
    <xdr:from>
      <xdr:col>10</xdr:col>
      <xdr:colOff>85677</xdr:colOff>
      <xdr:row>80</xdr:row>
      <xdr:rowOff>86542</xdr:rowOff>
    </xdr:from>
    <xdr:ext cx="1021605" cy="197117"/>
    <xdr:pic>
      <xdr:nvPicPr>
        <xdr:cNvPr id="10" name="Picture 9" descr="DHL_rgb_BG.png">
          <a:extLst>
            <a:ext uri="{FF2B5EF4-FFF2-40B4-BE49-F238E27FC236}">
              <a16:creationId xmlns:a16="http://schemas.microsoft.com/office/drawing/2014/main" id="{5A8B1181-8775-447B-A00F-2EE7A2CD50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457902" y="24451492"/>
          <a:ext cx="1021605" cy="197117"/>
        </a:xfrm>
        <a:prstGeom prst="rect">
          <a:avLst/>
        </a:prstGeom>
      </xdr:spPr>
    </xdr:pic>
    <xdr:clientData/>
  </xdr:oneCellAnchor>
  <xdr:twoCellAnchor>
    <xdr:from>
      <xdr:col>6</xdr:col>
      <xdr:colOff>524718</xdr:colOff>
      <xdr:row>12</xdr:row>
      <xdr:rowOff>1457723</xdr:rowOff>
    </xdr:from>
    <xdr:to>
      <xdr:col>10</xdr:col>
      <xdr:colOff>501764</xdr:colOff>
      <xdr:row>12</xdr:row>
      <xdr:rowOff>2025763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7A7518D9-4E57-45A4-8601-EF63559B0E79}"/>
            </a:ext>
          </a:extLst>
        </xdr:cNvPr>
        <xdr:cNvSpPr txBox="1"/>
      </xdr:nvSpPr>
      <xdr:spPr>
        <a:xfrm>
          <a:off x="4610943" y="8763398"/>
          <a:ext cx="2263046" cy="5680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1400" b="1">
              <a:latin typeface="+mn-lt"/>
            </a:rPr>
            <a:t>Recogida y entrega de tus </a:t>
          </a:r>
        </a:p>
        <a:p>
          <a:r>
            <a:rPr lang="es-ES" sz="1400" b="1">
              <a:latin typeface="+mn-lt"/>
            </a:rPr>
            <a:t>envios puerta a puerta</a:t>
          </a:r>
        </a:p>
      </xdr:txBody>
    </xdr:sp>
    <xdr:clientData/>
  </xdr:twoCellAnchor>
  <xdr:oneCellAnchor>
    <xdr:from>
      <xdr:col>10</xdr:col>
      <xdr:colOff>73770</xdr:colOff>
      <xdr:row>13</xdr:row>
      <xdr:rowOff>122261</xdr:rowOff>
    </xdr:from>
    <xdr:ext cx="1021605" cy="197117"/>
    <xdr:pic>
      <xdr:nvPicPr>
        <xdr:cNvPr id="12" name="Picture 11" descr="DHL_rgb_BG.png">
          <a:extLst>
            <a:ext uri="{FF2B5EF4-FFF2-40B4-BE49-F238E27FC236}">
              <a16:creationId xmlns:a16="http://schemas.microsoft.com/office/drawing/2014/main" id="{5B0325EA-D662-43D1-A4AF-D3AA3D49B2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445995" y="12038036"/>
          <a:ext cx="1021605" cy="197117"/>
        </a:xfrm>
        <a:prstGeom prst="rect">
          <a:avLst/>
        </a:prstGeom>
      </xdr:spPr>
    </xdr:pic>
    <xdr:clientData/>
  </xdr:oneCellAnchor>
  <xdr:twoCellAnchor editAs="oneCell">
    <xdr:from>
      <xdr:col>1</xdr:col>
      <xdr:colOff>142598</xdr:colOff>
      <xdr:row>12</xdr:row>
      <xdr:rowOff>2612850</xdr:rowOff>
    </xdr:from>
    <xdr:to>
      <xdr:col>1</xdr:col>
      <xdr:colOff>627629</xdr:colOff>
      <xdr:row>12</xdr:row>
      <xdr:rowOff>3123167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9879106E-0233-4714-8AC6-B914D84046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18823" y="9918525"/>
          <a:ext cx="485031" cy="510317"/>
        </a:xfrm>
        <a:prstGeom prst="rect">
          <a:avLst/>
        </a:prstGeom>
        <a:solidFill>
          <a:srgbClr val="FFC000"/>
        </a:solidFill>
      </xdr:spPr>
    </xdr:pic>
    <xdr:clientData/>
  </xdr:twoCellAnchor>
  <xdr:twoCellAnchor>
    <xdr:from>
      <xdr:col>6</xdr:col>
      <xdr:colOff>487478</xdr:colOff>
      <xdr:row>12</xdr:row>
      <xdr:rowOff>343652</xdr:rowOff>
    </xdr:from>
    <xdr:to>
      <xdr:col>10</xdr:col>
      <xdr:colOff>895133</xdr:colOff>
      <xdr:row>12</xdr:row>
      <xdr:rowOff>1344961</xdr:rowOff>
    </xdr:to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CC68FFF7-2F5A-4206-A2C6-A3E2EA367068}"/>
            </a:ext>
          </a:extLst>
        </xdr:cNvPr>
        <xdr:cNvSpPr txBox="1"/>
      </xdr:nvSpPr>
      <xdr:spPr>
        <a:xfrm>
          <a:off x="4573703" y="7649327"/>
          <a:ext cx="2693655" cy="10013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1400" b="1" baseline="0">
              <a:latin typeface="+mn-lt"/>
            </a:rPr>
            <a:t>Envío de paquetes,</a:t>
          </a:r>
        </a:p>
        <a:p>
          <a:r>
            <a:rPr lang="es-ES" sz="1400" b="1" baseline="0">
              <a:latin typeface="+mn-lt"/>
            </a:rPr>
            <a:t>multibultos y palets</a:t>
          </a:r>
        </a:p>
      </xdr:txBody>
    </xdr:sp>
    <xdr:clientData/>
  </xdr:twoCellAnchor>
  <xdr:twoCellAnchor editAs="oneCell">
    <xdr:from>
      <xdr:col>5</xdr:col>
      <xdr:colOff>633476</xdr:colOff>
      <xdr:row>12</xdr:row>
      <xdr:rowOff>372094</xdr:rowOff>
    </xdr:from>
    <xdr:to>
      <xdr:col>6</xdr:col>
      <xdr:colOff>356507</xdr:colOff>
      <xdr:row>12</xdr:row>
      <xdr:rowOff>882411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90489DA0-2749-48F7-9F18-4B739FC9AA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957701" y="7677769"/>
          <a:ext cx="485031" cy="510317"/>
        </a:xfrm>
        <a:prstGeom prst="rect">
          <a:avLst/>
        </a:prstGeom>
        <a:solidFill>
          <a:srgbClr val="FFC000"/>
        </a:solidFill>
      </xdr:spPr>
    </xdr:pic>
    <xdr:clientData/>
  </xdr:twoCellAnchor>
  <xdr:twoCellAnchor editAs="oneCell">
    <xdr:from>
      <xdr:col>5</xdr:col>
      <xdr:colOff>655650</xdr:colOff>
      <xdr:row>12</xdr:row>
      <xdr:rowOff>432308</xdr:rowOff>
    </xdr:from>
    <xdr:to>
      <xdr:col>6</xdr:col>
      <xdr:colOff>312964</xdr:colOff>
      <xdr:row>12</xdr:row>
      <xdr:rowOff>832363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B492DC61-FC0A-4925-9C67-A3422DE380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79875" y="7737983"/>
          <a:ext cx="419314" cy="400055"/>
        </a:xfrm>
        <a:prstGeom prst="rect">
          <a:avLst/>
        </a:prstGeom>
      </xdr:spPr>
    </xdr:pic>
    <xdr:clientData/>
  </xdr:twoCellAnchor>
  <xdr:twoCellAnchor editAs="oneCell">
    <xdr:from>
      <xdr:col>5</xdr:col>
      <xdr:colOff>634497</xdr:colOff>
      <xdr:row>12</xdr:row>
      <xdr:rowOff>1466788</xdr:rowOff>
    </xdr:from>
    <xdr:to>
      <xdr:col>6</xdr:col>
      <xdr:colOff>357528</xdr:colOff>
      <xdr:row>12</xdr:row>
      <xdr:rowOff>1977105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516189CB-916D-4AA2-8D96-F8DD4DBBD0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958722" y="8772463"/>
          <a:ext cx="485031" cy="510317"/>
        </a:xfrm>
        <a:prstGeom prst="rect">
          <a:avLst/>
        </a:prstGeom>
        <a:solidFill>
          <a:srgbClr val="FFC000"/>
        </a:solidFill>
      </xdr:spPr>
    </xdr:pic>
    <xdr:clientData/>
  </xdr:twoCellAnchor>
  <xdr:twoCellAnchor editAs="oneCell">
    <xdr:from>
      <xdr:col>5</xdr:col>
      <xdr:colOff>692389</xdr:colOff>
      <xdr:row>12</xdr:row>
      <xdr:rowOff>1520149</xdr:rowOff>
    </xdr:from>
    <xdr:to>
      <xdr:col>6</xdr:col>
      <xdr:colOff>314470</xdr:colOff>
      <xdr:row>12</xdr:row>
      <xdr:rowOff>1899901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98B4EBA3-2653-4364-B141-835FC06EBE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016614" y="8825824"/>
          <a:ext cx="384081" cy="379752"/>
        </a:xfrm>
        <a:prstGeom prst="rect">
          <a:avLst/>
        </a:prstGeom>
      </xdr:spPr>
    </xdr:pic>
    <xdr:clientData/>
  </xdr:twoCellAnchor>
  <xdr:twoCellAnchor>
    <xdr:from>
      <xdr:col>1</xdr:col>
      <xdr:colOff>744993</xdr:colOff>
      <xdr:row>12</xdr:row>
      <xdr:rowOff>1441408</xdr:rowOff>
    </xdr:from>
    <xdr:to>
      <xdr:col>5</xdr:col>
      <xdr:colOff>381989</xdr:colOff>
      <xdr:row>12</xdr:row>
      <xdr:rowOff>2442717</xdr:rowOff>
    </xdr:to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B3E3C41C-79C1-4AEE-8AE8-FE14311E96DB}"/>
            </a:ext>
          </a:extLst>
        </xdr:cNvPr>
        <xdr:cNvSpPr txBox="1"/>
      </xdr:nvSpPr>
      <xdr:spPr>
        <a:xfrm>
          <a:off x="1021218" y="8747083"/>
          <a:ext cx="2684996" cy="10013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1400" b="1" baseline="0">
              <a:latin typeface="+mn-lt"/>
            </a:rPr>
            <a:t>Una única red de </a:t>
          </a:r>
          <a:br>
            <a:rPr lang="es-ES" sz="1400" b="1" baseline="0">
              <a:latin typeface="+mn-lt"/>
            </a:rPr>
          </a:br>
          <a:r>
            <a:rPr lang="es-ES" sz="1400" b="1" baseline="0">
              <a:latin typeface="+mn-lt"/>
            </a:rPr>
            <a:t>principio a fin</a:t>
          </a:r>
        </a:p>
      </xdr:txBody>
    </xdr:sp>
    <xdr:clientData/>
  </xdr:twoCellAnchor>
  <xdr:twoCellAnchor>
    <xdr:from>
      <xdr:col>2</xdr:col>
      <xdr:colOff>22955</xdr:colOff>
      <xdr:row>12</xdr:row>
      <xdr:rowOff>374255</xdr:rowOff>
    </xdr:from>
    <xdr:to>
      <xdr:col>4</xdr:col>
      <xdr:colOff>753342</xdr:colOff>
      <xdr:row>12</xdr:row>
      <xdr:rowOff>942295</xdr:rowOff>
    </xdr:to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id="{1C1E895A-1BD8-4821-A079-28D1BD92FFF0}"/>
            </a:ext>
          </a:extLst>
        </xdr:cNvPr>
        <xdr:cNvSpPr txBox="1"/>
      </xdr:nvSpPr>
      <xdr:spPr>
        <a:xfrm>
          <a:off x="1061180" y="7679930"/>
          <a:ext cx="2254387" cy="5680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1400" b="1">
              <a:latin typeface="+mn-lt"/>
            </a:rPr>
            <a:t>Conectamos</a:t>
          </a:r>
          <a:r>
            <a:rPr lang="es-ES" sz="1400" b="1" baseline="0">
              <a:latin typeface="+mn-lt"/>
            </a:rPr>
            <a:t> a diario con </a:t>
          </a:r>
        </a:p>
        <a:p>
          <a:r>
            <a:rPr lang="es-ES" sz="1400" b="1" baseline="0">
              <a:latin typeface="+mn-lt"/>
            </a:rPr>
            <a:t>29 países europeos</a:t>
          </a:r>
          <a:endParaRPr lang="es-ES" sz="1400" b="1">
            <a:latin typeface="+mn-lt"/>
          </a:endParaRPr>
        </a:p>
      </xdr:txBody>
    </xdr:sp>
    <xdr:clientData/>
  </xdr:twoCellAnchor>
  <xdr:twoCellAnchor editAs="oneCell">
    <xdr:from>
      <xdr:col>1</xdr:col>
      <xdr:colOff>128991</xdr:colOff>
      <xdr:row>12</xdr:row>
      <xdr:rowOff>1469850</xdr:rowOff>
    </xdr:from>
    <xdr:to>
      <xdr:col>1</xdr:col>
      <xdr:colOff>614022</xdr:colOff>
      <xdr:row>12</xdr:row>
      <xdr:rowOff>1980167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D990487D-B0C1-414A-9113-0234568284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05216" y="8775525"/>
          <a:ext cx="485031" cy="510317"/>
        </a:xfrm>
        <a:prstGeom prst="rect">
          <a:avLst/>
        </a:prstGeom>
        <a:solidFill>
          <a:srgbClr val="FFC000"/>
        </a:solidFill>
      </xdr:spPr>
    </xdr:pic>
    <xdr:clientData/>
  </xdr:twoCellAnchor>
  <xdr:twoCellAnchor>
    <xdr:from>
      <xdr:col>6</xdr:col>
      <xdr:colOff>426246</xdr:colOff>
      <xdr:row>12</xdr:row>
      <xdr:rowOff>2641559</xdr:rowOff>
    </xdr:from>
    <xdr:to>
      <xdr:col>11</xdr:col>
      <xdr:colOff>324716</xdr:colOff>
      <xdr:row>12</xdr:row>
      <xdr:rowOff>3216853</xdr:rowOff>
    </xdr:to>
    <xdr:sp macro="" textlink="">
      <xdr:nvSpPr>
        <xdr:cNvPr id="22" name="TextBox 21">
          <a:extLst>
            <a:ext uri="{FF2B5EF4-FFF2-40B4-BE49-F238E27FC236}">
              <a16:creationId xmlns:a16="http://schemas.microsoft.com/office/drawing/2014/main" id="{75FF0B8E-BB2A-4BB1-A1A3-1F2A76795D05}"/>
            </a:ext>
          </a:extLst>
        </xdr:cNvPr>
        <xdr:cNvSpPr txBox="1"/>
      </xdr:nvSpPr>
      <xdr:spPr>
        <a:xfrm>
          <a:off x="4512471" y="9947234"/>
          <a:ext cx="3136970" cy="57529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1400" b="1" baseline="0">
              <a:latin typeface="+mn-lt"/>
            </a:rPr>
            <a:t>Certificados ISO de calidad y medio</a:t>
          </a:r>
        </a:p>
        <a:p>
          <a:r>
            <a:rPr lang="es-ES" sz="1400" b="1" baseline="0">
              <a:latin typeface="+mn-lt"/>
            </a:rPr>
            <a:t>ambiente: ISO 9001 / ISO 14001</a:t>
          </a:r>
        </a:p>
        <a:p>
          <a:endParaRPr lang="es-ES" sz="1400" b="1" baseline="0">
            <a:latin typeface="+mn-lt"/>
          </a:endParaRPr>
        </a:p>
      </xdr:txBody>
    </xdr:sp>
    <xdr:clientData/>
  </xdr:twoCellAnchor>
  <xdr:twoCellAnchor editAs="oneCell">
    <xdr:from>
      <xdr:col>5</xdr:col>
      <xdr:colOff>572244</xdr:colOff>
      <xdr:row>12</xdr:row>
      <xdr:rowOff>2670000</xdr:rowOff>
    </xdr:from>
    <xdr:to>
      <xdr:col>6</xdr:col>
      <xdr:colOff>295275</xdr:colOff>
      <xdr:row>12</xdr:row>
      <xdr:rowOff>3180317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DAFA7C36-C01F-487C-A7B5-F7AFBE2603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96469" y="9975675"/>
          <a:ext cx="485031" cy="510317"/>
        </a:xfrm>
        <a:prstGeom prst="rect">
          <a:avLst/>
        </a:prstGeom>
        <a:solidFill>
          <a:srgbClr val="FFC000"/>
        </a:solidFill>
      </xdr:spPr>
    </xdr:pic>
    <xdr:clientData/>
  </xdr:twoCellAnchor>
  <xdr:twoCellAnchor editAs="oneCell">
    <xdr:from>
      <xdr:col>1</xdr:col>
      <xdr:colOff>144640</xdr:colOff>
      <xdr:row>12</xdr:row>
      <xdr:rowOff>383320</xdr:rowOff>
    </xdr:from>
    <xdr:to>
      <xdr:col>1</xdr:col>
      <xdr:colOff>629671</xdr:colOff>
      <xdr:row>12</xdr:row>
      <xdr:rowOff>893637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DC6ED8FD-D382-4E0E-8FA1-32C8890CC4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20865" y="7688995"/>
          <a:ext cx="485031" cy="510317"/>
        </a:xfrm>
        <a:prstGeom prst="rect">
          <a:avLst/>
        </a:prstGeom>
        <a:solidFill>
          <a:srgbClr val="FFC000"/>
        </a:solidFill>
      </xdr:spPr>
    </xdr:pic>
    <xdr:clientData/>
  </xdr:twoCellAnchor>
  <xdr:twoCellAnchor editAs="oneCell">
    <xdr:from>
      <xdr:col>5</xdr:col>
      <xdr:colOff>679371</xdr:colOff>
      <xdr:row>12</xdr:row>
      <xdr:rowOff>2813662</xdr:rowOff>
    </xdr:from>
    <xdr:to>
      <xdr:col>6</xdr:col>
      <xdr:colOff>217407</xdr:colOff>
      <xdr:row>12</xdr:row>
      <xdr:rowOff>3049275</xdr:rowOff>
    </xdr:to>
    <xdr:pic>
      <xdr:nvPicPr>
        <xdr:cNvPr id="25" name="Picture 24" descr="Resultado de imagen de iso 14001">
          <a:extLst>
            <a:ext uri="{FF2B5EF4-FFF2-40B4-BE49-F238E27FC236}">
              <a16:creationId xmlns:a16="http://schemas.microsoft.com/office/drawing/2014/main" id="{A32D1C40-60B1-48FE-80F7-CBED4715A72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03596" y="10119337"/>
          <a:ext cx="300036" cy="2356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200575</xdr:colOff>
      <xdr:row>12</xdr:row>
      <xdr:rowOff>2663336</xdr:rowOff>
    </xdr:from>
    <xdr:to>
      <xdr:col>1</xdr:col>
      <xdr:colOff>584656</xdr:colOff>
      <xdr:row>12</xdr:row>
      <xdr:rowOff>3052259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E37F5D70-D97F-4FB7-A471-7DD4D17222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76800" y="9969011"/>
          <a:ext cx="384081" cy="388923"/>
        </a:xfrm>
        <a:prstGeom prst="rect">
          <a:avLst/>
        </a:prstGeom>
      </xdr:spPr>
    </xdr:pic>
    <xdr:clientData/>
  </xdr:twoCellAnchor>
  <xdr:twoCellAnchor editAs="oneCell">
    <xdr:from>
      <xdr:col>1</xdr:col>
      <xdr:colOff>193248</xdr:colOff>
      <xdr:row>12</xdr:row>
      <xdr:rowOff>1505682</xdr:rowOff>
    </xdr:from>
    <xdr:to>
      <xdr:col>1</xdr:col>
      <xdr:colOff>577329</xdr:colOff>
      <xdr:row>12</xdr:row>
      <xdr:rowOff>1893805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F258BC8E-D8FC-457C-BCFB-435EFEB472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469473" y="8811357"/>
          <a:ext cx="384081" cy="388123"/>
        </a:xfrm>
        <a:prstGeom prst="rect">
          <a:avLst/>
        </a:prstGeom>
      </xdr:spPr>
    </xdr:pic>
    <xdr:clientData/>
  </xdr:twoCellAnchor>
  <xdr:twoCellAnchor editAs="oneCell">
    <xdr:from>
      <xdr:col>1</xdr:col>
      <xdr:colOff>202410</xdr:colOff>
      <xdr:row>12</xdr:row>
      <xdr:rowOff>458604</xdr:rowOff>
    </xdr:from>
    <xdr:to>
      <xdr:col>1</xdr:col>
      <xdr:colOff>561427</xdr:colOff>
      <xdr:row>12</xdr:row>
      <xdr:rowOff>817621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030B7A45-9FCB-4F9E-B86E-06780CBF72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8635" y="7764279"/>
          <a:ext cx="359017" cy="359017"/>
        </a:xfrm>
        <a:prstGeom prst="rect">
          <a:avLst/>
        </a:prstGeom>
      </xdr:spPr>
    </xdr:pic>
    <xdr:clientData/>
  </xdr:twoCellAnchor>
  <xdr:twoCellAnchor>
    <xdr:from>
      <xdr:col>1</xdr:col>
      <xdr:colOff>204</xdr:colOff>
      <xdr:row>4</xdr:row>
      <xdr:rowOff>98143</xdr:rowOff>
    </xdr:from>
    <xdr:to>
      <xdr:col>8</xdr:col>
      <xdr:colOff>583406</xdr:colOff>
      <xdr:row>7</xdr:row>
      <xdr:rowOff>488156</xdr:rowOff>
    </xdr:to>
    <xdr:sp macro="" textlink="">
      <xdr:nvSpPr>
        <xdr:cNvPr id="29" name="TextBox 28">
          <a:extLst>
            <a:ext uri="{FF2B5EF4-FFF2-40B4-BE49-F238E27FC236}">
              <a16:creationId xmlns:a16="http://schemas.microsoft.com/office/drawing/2014/main" id="{9C998D70-C3EE-468C-86E0-1584976DF2F7}"/>
            </a:ext>
          </a:extLst>
        </xdr:cNvPr>
        <xdr:cNvSpPr txBox="1"/>
      </xdr:nvSpPr>
      <xdr:spPr>
        <a:xfrm>
          <a:off x="276429" y="4108168"/>
          <a:ext cx="5583827" cy="197116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br>
            <a:rPr lang="es-ES" sz="2000" b="0">
              <a:solidFill>
                <a:srgbClr val="C00000"/>
              </a:solidFill>
              <a:latin typeface="+mj-lt"/>
            </a:rPr>
          </a:br>
          <a:r>
            <a:rPr lang="es-ES" sz="2000" b="0">
              <a:solidFill>
                <a:srgbClr val="D40511"/>
              </a:solidFill>
              <a:latin typeface="+mn-lt"/>
            </a:rPr>
            <a:t>DHL PARCEL CONNECT PLUS</a:t>
          </a:r>
          <a:br>
            <a:rPr lang="es-ES" sz="2000" b="0">
              <a:solidFill>
                <a:srgbClr val="C00000"/>
              </a:solidFill>
              <a:latin typeface="+mj-lt"/>
            </a:rPr>
          </a:br>
          <a:r>
            <a:rPr lang="es-ES" sz="2400" b="1">
              <a:solidFill>
                <a:srgbClr val="D40511"/>
              </a:solidFill>
              <a:latin typeface="Calibri" panose="020F0502020204030204" pitchFamily="34" charset="0"/>
              <a:cs typeface="Calibri" panose="020F0502020204030204" pitchFamily="34" charset="0"/>
            </a:rPr>
            <a:t>LA MEJOR SOLUCIÓN PARA TUS ENVÍOS </a:t>
          </a:r>
          <a:br>
            <a:rPr lang="es-ES" sz="2400" b="1">
              <a:solidFill>
                <a:srgbClr val="D40511"/>
              </a:solidFill>
              <a:latin typeface="Calibri" panose="020F0502020204030204" pitchFamily="34" charset="0"/>
              <a:cs typeface="Calibri" panose="020F0502020204030204" pitchFamily="34" charset="0"/>
            </a:rPr>
          </a:br>
          <a:r>
            <a:rPr lang="es-ES" sz="2400" b="1">
              <a:solidFill>
                <a:srgbClr val="D40511"/>
              </a:solidFill>
              <a:latin typeface="Calibri" panose="020F0502020204030204" pitchFamily="34" charset="0"/>
              <a:cs typeface="Calibri" panose="020F0502020204030204" pitchFamily="34" charset="0"/>
            </a:rPr>
            <a:t>DE PAQUETERÍA</a:t>
          </a:r>
          <a:r>
            <a:rPr lang="es-ES" sz="2400" b="1" baseline="0">
              <a:solidFill>
                <a:srgbClr val="D40511"/>
              </a:solidFill>
              <a:latin typeface="Calibri" panose="020F0502020204030204" pitchFamily="34" charset="0"/>
              <a:cs typeface="Calibri" panose="020F0502020204030204" pitchFamily="34" charset="0"/>
            </a:rPr>
            <a:t>  EMPRESARIAL </a:t>
          </a:r>
          <a:br>
            <a:rPr lang="es-ES" sz="2000" b="0">
              <a:solidFill>
                <a:srgbClr val="C00000"/>
              </a:solidFill>
              <a:latin typeface="Delivery Cd Black" panose="020F0906020204020204" pitchFamily="34" charset="0"/>
            </a:rPr>
          </a:br>
          <a:endParaRPr lang="es-ES" sz="2000" b="0">
            <a:solidFill>
              <a:srgbClr val="C00000"/>
            </a:solidFill>
            <a:latin typeface="Delivery Cd Black" panose="020F0906020204020204" pitchFamily="34" charset="0"/>
          </a:endParaRPr>
        </a:p>
      </xdr:txBody>
    </xdr:sp>
    <xdr:clientData/>
  </xdr:twoCellAnchor>
  <xdr:twoCellAnchor>
    <xdr:from>
      <xdr:col>8</xdr:col>
      <xdr:colOff>684513</xdr:colOff>
      <xdr:row>6</xdr:row>
      <xdr:rowOff>268009</xdr:rowOff>
    </xdr:from>
    <xdr:to>
      <xdr:col>11</xdr:col>
      <xdr:colOff>70140</xdr:colOff>
      <xdr:row>9</xdr:row>
      <xdr:rowOff>102429</xdr:rowOff>
    </xdr:to>
    <xdr:sp macro="" textlink="">
      <xdr:nvSpPr>
        <xdr:cNvPr id="30" name="Oval 29">
          <a:extLst>
            <a:ext uri="{FF2B5EF4-FFF2-40B4-BE49-F238E27FC236}">
              <a16:creationId xmlns:a16="http://schemas.microsoft.com/office/drawing/2014/main" id="{72B77E2A-AA2D-40B3-B80B-3483ECA585B6}"/>
            </a:ext>
          </a:extLst>
        </xdr:cNvPr>
        <xdr:cNvSpPr/>
      </xdr:nvSpPr>
      <xdr:spPr>
        <a:xfrm rot="920876">
          <a:off x="5961363" y="5449609"/>
          <a:ext cx="1433502" cy="1472720"/>
        </a:xfrm>
        <a:prstGeom prst="ellipse">
          <a:avLst/>
        </a:prstGeom>
        <a:solidFill>
          <a:srgbClr val="D4051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8</xdr:col>
      <xdr:colOff>683494</xdr:colOff>
      <xdr:row>6</xdr:row>
      <xdr:rowOff>407457</xdr:rowOff>
    </xdr:from>
    <xdr:to>
      <xdr:col>11</xdr:col>
      <xdr:colOff>79087</xdr:colOff>
      <xdr:row>7</xdr:row>
      <xdr:rowOff>1022241</xdr:rowOff>
    </xdr:to>
    <xdr:sp macro="" textlink="">
      <xdr:nvSpPr>
        <xdr:cNvPr id="31" name="TextBox 30">
          <a:extLst>
            <a:ext uri="{FF2B5EF4-FFF2-40B4-BE49-F238E27FC236}">
              <a16:creationId xmlns:a16="http://schemas.microsoft.com/office/drawing/2014/main" id="{04CAD773-A615-42F6-A534-F314F45CAE50}"/>
            </a:ext>
          </a:extLst>
        </xdr:cNvPr>
        <xdr:cNvSpPr txBox="1"/>
      </xdr:nvSpPr>
      <xdr:spPr>
        <a:xfrm rot="514091">
          <a:off x="5960344" y="5589057"/>
          <a:ext cx="1443468" cy="10243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ES" sz="1200" b="1">
              <a:solidFill>
                <a:schemeClr val="bg1"/>
              </a:solidFill>
            </a:rPr>
            <a:t>¡Más</a:t>
          </a:r>
          <a:r>
            <a:rPr lang="es-ES" sz="1200" b="1" baseline="0">
              <a:solidFill>
                <a:schemeClr val="bg1"/>
              </a:solidFill>
            </a:rPr>
            <a:t> de </a:t>
          </a:r>
        </a:p>
        <a:p>
          <a:pPr algn="ctr"/>
          <a:r>
            <a:rPr lang="es-ES" sz="1200" b="1" baseline="0">
              <a:solidFill>
                <a:schemeClr val="bg1"/>
              </a:solidFill>
            </a:rPr>
            <a:t>80 años de </a:t>
          </a:r>
        </a:p>
        <a:p>
          <a:pPr algn="ctr"/>
          <a:r>
            <a:rPr lang="es-ES" sz="1200" b="1" baseline="0">
              <a:solidFill>
                <a:schemeClr val="bg1"/>
              </a:solidFill>
            </a:rPr>
            <a:t>experiencia</a:t>
          </a:r>
        </a:p>
        <a:p>
          <a:pPr algn="ctr"/>
          <a:r>
            <a:rPr lang="es-ES" sz="1200" b="1" baseline="0">
              <a:solidFill>
                <a:schemeClr val="bg1"/>
              </a:solidFill>
            </a:rPr>
            <a:t>en transporte!</a:t>
          </a:r>
          <a:endParaRPr lang="es-ES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264344</xdr:colOff>
      <xdr:row>7</xdr:row>
      <xdr:rowOff>142873</xdr:rowOff>
    </xdr:from>
    <xdr:to>
      <xdr:col>8</xdr:col>
      <xdr:colOff>27213</xdr:colOff>
      <xdr:row>11</xdr:row>
      <xdr:rowOff>37417</xdr:rowOff>
    </xdr:to>
    <xdr:sp macro="" textlink="">
      <xdr:nvSpPr>
        <xdr:cNvPr id="32" name="TextBox 31">
          <a:extLst>
            <a:ext uri="{FF2B5EF4-FFF2-40B4-BE49-F238E27FC236}">
              <a16:creationId xmlns:a16="http://schemas.microsoft.com/office/drawing/2014/main" id="{A34F3A27-3160-414F-8B83-C52CAE689B1E}"/>
            </a:ext>
          </a:extLst>
        </xdr:cNvPr>
        <xdr:cNvSpPr txBox="1"/>
      </xdr:nvSpPr>
      <xdr:spPr>
        <a:xfrm>
          <a:off x="264344" y="5734048"/>
          <a:ext cx="5039719" cy="1447119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14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DHL Parcel Connect Plus es un </a:t>
          </a:r>
          <a:r>
            <a:rPr lang="es-ES" sz="14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servicio terrestre de entrega a empresas de Europa. </a:t>
          </a:r>
          <a:r>
            <a:rPr lang="es-ES" sz="14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También disponible para  importación desde todos los países.</a:t>
          </a:r>
        </a:p>
      </xdr:txBody>
    </xdr:sp>
    <xdr:clientData/>
  </xdr:twoCellAnchor>
  <xdr:twoCellAnchor>
    <xdr:from>
      <xdr:col>0</xdr:col>
      <xdr:colOff>59532</xdr:colOff>
      <xdr:row>35</xdr:row>
      <xdr:rowOff>107157</xdr:rowOff>
    </xdr:from>
    <xdr:to>
      <xdr:col>11</xdr:col>
      <xdr:colOff>742771</xdr:colOff>
      <xdr:row>38</xdr:row>
      <xdr:rowOff>141981</xdr:rowOff>
    </xdr:to>
    <xdr:sp macro="" textlink="">
      <xdr:nvSpPr>
        <xdr:cNvPr id="33" name="TextBox 32">
          <a:extLst>
            <a:ext uri="{FF2B5EF4-FFF2-40B4-BE49-F238E27FC236}">
              <a16:creationId xmlns:a16="http://schemas.microsoft.com/office/drawing/2014/main" id="{9BDD914C-4A21-4169-BAF0-4F99BD3E6F22}"/>
            </a:ext>
          </a:extLst>
        </xdr:cNvPr>
        <xdr:cNvSpPr txBox="1"/>
      </xdr:nvSpPr>
      <xdr:spPr>
        <a:xfrm>
          <a:off x="59532" y="17785557"/>
          <a:ext cx="8007964" cy="520599"/>
        </a:xfrm>
        <a:prstGeom prst="rect">
          <a:avLst/>
        </a:prstGeom>
        <a:solidFill>
          <a:srgbClr val="EAEAE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ES" sz="1200" b="1">
              <a:latin typeface="Calibri" panose="020F0502020204030204" pitchFamily="34" charset="0"/>
              <a:cs typeface="Calibri" panose="020F0502020204030204" pitchFamily="34" charset="0"/>
            </a:rPr>
            <a:t>Consideraciones específicas</a:t>
          </a:r>
          <a:r>
            <a:rPr lang="es-ES" sz="1200" b="1" baseline="0">
              <a:latin typeface="Calibri" panose="020F0502020204030204" pitchFamily="34" charset="0"/>
              <a:cs typeface="Calibri" panose="020F0502020204030204" pitchFamily="34" charset="0"/>
            </a:rPr>
            <a:t> para Zonas Aduaneras</a:t>
          </a:r>
          <a:endParaRPr lang="es-ES" sz="1200" b="1">
            <a:latin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12</xdr:col>
      <xdr:colOff>19049</xdr:colOff>
      <xdr:row>2</xdr:row>
      <xdr:rowOff>9524</xdr:rowOff>
    </xdr:to>
    <xdr:pic>
      <xdr:nvPicPr>
        <xdr:cNvPr id="34" name="Picture 33">
          <a:extLst>
            <a:ext uri="{FF2B5EF4-FFF2-40B4-BE49-F238E27FC236}">
              <a16:creationId xmlns:a16="http://schemas.microsoft.com/office/drawing/2014/main" id="{729B3204-6447-41D2-9EA0-5CBAB28DF1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105774" cy="338137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503443</xdr:colOff>
      <xdr:row>1</xdr:row>
      <xdr:rowOff>78442</xdr:rowOff>
    </xdr:from>
    <xdr:to>
      <xdr:col>11</xdr:col>
      <xdr:colOff>1007882</xdr:colOff>
      <xdr:row>1</xdr:row>
      <xdr:rowOff>301625</xdr:rowOff>
    </xdr:to>
    <xdr:pic>
      <xdr:nvPicPr>
        <xdr:cNvPr id="2" name="Picture 1" descr="DHL_rgb_BG.png">
          <a:extLst>
            <a:ext uri="{FF2B5EF4-FFF2-40B4-BE49-F238E27FC236}">
              <a16:creationId xmlns:a16="http://schemas.microsoft.com/office/drawing/2014/main" id="{79C1340F-83D1-4F0B-AEE2-4D82DCC3E5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8390143" y="478492"/>
          <a:ext cx="1552189" cy="223183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40</xdr:row>
      <xdr:rowOff>0</xdr:rowOff>
    </xdr:from>
    <xdr:to>
      <xdr:col>16</xdr:col>
      <xdr:colOff>1418548</xdr:colOff>
      <xdr:row>74</xdr:row>
      <xdr:rowOff>73202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18A6457E-9C37-4C09-BCFE-43F65A95B7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668625" y="8829675"/>
          <a:ext cx="5419048" cy="613110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3507</xdr:colOff>
      <xdr:row>2</xdr:row>
      <xdr:rowOff>66675</xdr:rowOff>
    </xdr:from>
    <xdr:ext cx="1891237" cy="270177"/>
    <xdr:pic>
      <xdr:nvPicPr>
        <xdr:cNvPr id="2" name="Picture 1" descr="DHL_rgb_BG.png">
          <a:extLst>
            <a:ext uri="{FF2B5EF4-FFF2-40B4-BE49-F238E27FC236}">
              <a16:creationId xmlns:a16="http://schemas.microsoft.com/office/drawing/2014/main" id="{2EB5374A-5700-42E1-873B-0D1F2F05F5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8318832" y="590550"/>
          <a:ext cx="1891237" cy="270177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E1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outerShdw dist="35921" dir="2700000" algn="ctr" rotWithShape="0">
            <a:srgbClr val="000000"/>
          </a:outerShdw>
        </a:effec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E1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outerShdw dist="35921" dir="2700000" algn="ctr" rotWithShape="0">
            <a:srgbClr val="000000"/>
          </a:outerShdw>
        </a:effec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www.dhl.es/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CC91A4-047E-4550-A1B6-5F430D305CAE}">
  <sheetPr codeName="Sheet5">
    <tabColor theme="7" tint="0.79998168889431442"/>
    <pageSetUpPr autoPageBreaks="0"/>
  </sheetPr>
  <dimension ref="A1:M82"/>
  <sheetViews>
    <sheetView showGridLines="0" showRowColHeaders="0" tabSelected="1" zoomScaleNormal="100" zoomScaleSheetLayoutView="100" workbookViewId="0">
      <selection activeCell="A8" sqref="A8:L8"/>
    </sheetView>
  </sheetViews>
  <sheetFormatPr defaultColWidth="11.42578125" defaultRowHeight="12.75"/>
  <cols>
    <col min="1" max="1" width="4.140625" style="4" customWidth="1"/>
    <col min="2" max="7" width="11.42578125" style="4" customWidth="1"/>
    <col min="8" max="8" width="6.42578125" style="4" customWidth="1"/>
    <col min="9" max="9" width="11.42578125" style="4" customWidth="1"/>
    <col min="10" max="10" width="5" style="4" customWidth="1"/>
    <col min="11" max="11" width="14.28515625" style="4" customWidth="1"/>
    <col min="12" max="16384" width="11.42578125" style="4"/>
  </cols>
  <sheetData>
    <row r="1" spans="1:13">
      <c r="A1" s="1"/>
      <c r="B1" s="2"/>
      <c r="C1" s="1"/>
      <c r="D1" s="1"/>
      <c r="E1" s="1"/>
      <c r="F1" s="1"/>
      <c r="G1" s="1"/>
      <c r="H1" s="3"/>
      <c r="I1" s="1"/>
      <c r="J1" s="1"/>
      <c r="K1" s="1"/>
    </row>
    <row r="2" spans="1:13" ht="252.75" customHeight="1">
      <c r="A2" s="5"/>
      <c r="B2" s="5"/>
      <c r="C2" s="5"/>
      <c r="D2" s="5"/>
      <c r="E2" s="5"/>
      <c r="F2" s="5"/>
      <c r="G2" s="5"/>
      <c r="H2" s="5"/>
      <c r="I2" s="5"/>
      <c r="J2" s="5"/>
      <c r="K2" s="5"/>
    </row>
    <row r="3" spans="1:13" ht="27" customHeight="1">
      <c r="A3" s="6"/>
      <c r="B3" s="6"/>
      <c r="C3" s="7"/>
      <c r="D3" s="6"/>
      <c r="E3" s="6"/>
      <c r="F3" s="205" t="s">
        <v>469</v>
      </c>
      <c r="G3" s="205"/>
      <c r="H3" s="205"/>
      <c r="I3" s="205"/>
      <c r="J3" s="205"/>
      <c r="K3" s="205"/>
      <c r="L3" s="205"/>
      <c r="M3" s="8"/>
    </row>
    <row r="4" spans="1:13" ht="23.25" customHeight="1">
      <c r="A4" s="6"/>
      <c r="B4" s="6"/>
      <c r="C4" s="9"/>
      <c r="D4" s="6"/>
      <c r="E4" s="6"/>
      <c r="F4" s="205"/>
      <c r="G4" s="205"/>
      <c r="H4" s="205"/>
      <c r="I4" s="205"/>
      <c r="J4" s="205"/>
      <c r="K4" s="205"/>
      <c r="L4" s="205"/>
      <c r="M4" s="8"/>
    </row>
    <row r="6" spans="1:13" ht="79.5" customHeight="1">
      <c r="B6" s="10"/>
      <c r="C6" s="10"/>
      <c r="D6" s="10"/>
      <c r="E6" s="10"/>
      <c r="F6" s="10"/>
      <c r="G6" s="10"/>
    </row>
    <row r="7" spans="1:13" s="11" customFormat="1" ht="32.25" customHeight="1"/>
    <row r="8" spans="1:13" s="12" customFormat="1" ht="84" customHeight="1">
      <c r="A8" s="206"/>
      <c r="B8" s="206"/>
      <c r="C8" s="206"/>
      <c r="D8" s="206"/>
      <c r="E8" s="206"/>
      <c r="F8" s="206"/>
      <c r="G8" s="206"/>
      <c r="H8" s="206"/>
      <c r="I8" s="206"/>
      <c r="J8" s="206"/>
      <c r="K8" s="206"/>
      <c r="L8" s="206"/>
    </row>
    <row r="9" spans="1:13">
      <c r="B9" s="13"/>
      <c r="C9" s="10"/>
      <c r="D9" s="10"/>
      <c r="E9" s="10"/>
      <c r="F9" s="10"/>
      <c r="G9" s="10"/>
    </row>
    <row r="10" spans="1:13">
      <c r="B10" s="13"/>
      <c r="C10" s="10"/>
      <c r="D10" s="10"/>
      <c r="E10" s="10"/>
      <c r="F10" s="10"/>
      <c r="G10" s="10"/>
    </row>
    <row r="11" spans="1:13">
      <c r="B11" s="13"/>
      <c r="C11" s="10"/>
      <c r="D11" s="10"/>
      <c r="E11" s="10"/>
      <c r="F11" s="10"/>
      <c r="G11" s="10"/>
    </row>
    <row r="12" spans="1:13">
      <c r="B12" s="13"/>
      <c r="C12" s="10"/>
      <c r="D12" s="10"/>
      <c r="E12" s="10"/>
      <c r="F12" s="10"/>
      <c r="G12" s="10"/>
    </row>
    <row r="13" spans="1:13" ht="363" customHeight="1">
      <c r="B13" s="13"/>
      <c r="D13" s="10"/>
      <c r="E13" s="10"/>
      <c r="F13" s="10"/>
      <c r="G13" s="14"/>
    </row>
    <row r="14" spans="1:13" ht="20.100000000000001" customHeight="1">
      <c r="A14" s="6"/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</row>
    <row r="15" spans="1:13" ht="13.5">
      <c r="A15" s="15"/>
      <c r="B15" s="15"/>
      <c r="C15" s="15"/>
      <c r="D15" s="15"/>
      <c r="E15" s="15"/>
      <c r="F15" s="15"/>
      <c r="G15" s="15"/>
      <c r="H15" s="15"/>
      <c r="I15" s="15"/>
      <c r="J15" s="15"/>
      <c r="K15" s="16"/>
      <c r="L15" s="15"/>
    </row>
    <row r="16" spans="1:13" s="11" customFormat="1" ht="39" customHeight="1"/>
    <row r="17" spans="1:13" s="12" customFormat="1" ht="90" customHeight="1">
      <c r="A17" s="17"/>
    </row>
    <row r="18" spans="1:13" ht="6.75" customHeight="1">
      <c r="A18" s="17"/>
      <c r="B18" s="18"/>
      <c r="C18" s="18"/>
      <c r="D18" s="18"/>
      <c r="E18" s="18"/>
      <c r="F18" s="18"/>
      <c r="G18" s="18"/>
      <c r="H18" s="18"/>
      <c r="I18" s="18"/>
      <c r="J18" s="18"/>
      <c r="K18" s="18"/>
      <c r="L18" s="18"/>
    </row>
    <row r="19" spans="1:13" ht="20.100000000000001" customHeight="1">
      <c r="B19" s="207" t="s">
        <v>0</v>
      </c>
      <c r="C19" s="208"/>
      <c r="D19" s="208"/>
      <c r="E19" s="19"/>
      <c r="F19" s="20" t="s">
        <v>1</v>
      </c>
      <c r="G19" s="20"/>
      <c r="H19" s="20"/>
      <c r="I19" s="20"/>
      <c r="J19" s="20"/>
      <c r="K19" s="20"/>
      <c r="L19" s="20"/>
    </row>
    <row r="20" spans="1:13" ht="20.100000000000001" customHeight="1">
      <c r="B20" s="209"/>
      <c r="C20" s="209"/>
      <c r="D20" s="209"/>
      <c r="E20" s="19"/>
      <c r="F20" s="20" t="s">
        <v>2</v>
      </c>
      <c r="G20" s="20"/>
      <c r="H20" s="20"/>
      <c r="I20" s="20"/>
      <c r="J20" s="20"/>
      <c r="K20" s="20"/>
      <c r="L20" s="20"/>
    </row>
    <row r="21" spans="1:13" ht="20.100000000000001" customHeight="1">
      <c r="B21" s="209"/>
      <c r="C21" s="209"/>
      <c r="D21" s="209"/>
      <c r="E21" s="19"/>
      <c r="F21" s="20" t="s">
        <v>3</v>
      </c>
      <c r="G21" s="20"/>
      <c r="H21" s="20"/>
      <c r="I21" s="20"/>
      <c r="J21" s="20"/>
      <c r="K21" s="20"/>
      <c r="L21" s="20"/>
    </row>
    <row r="22" spans="1:13" ht="20.100000000000001" customHeight="1">
      <c r="B22" s="210"/>
      <c r="C22" s="210"/>
      <c r="D22" s="210"/>
      <c r="E22" s="21"/>
      <c r="F22" s="22" t="s">
        <v>4</v>
      </c>
      <c r="G22" s="22"/>
      <c r="H22" s="22"/>
      <c r="I22" s="22"/>
      <c r="J22" s="22"/>
      <c r="K22" s="22"/>
      <c r="L22" s="22"/>
    </row>
    <row r="23" spans="1:13" ht="20.100000000000001" customHeight="1">
      <c r="B23" s="208" t="s">
        <v>5</v>
      </c>
      <c r="C23" s="208"/>
      <c r="D23" s="208"/>
      <c r="E23" s="19"/>
      <c r="F23" s="20" t="s">
        <v>6</v>
      </c>
      <c r="G23" s="20"/>
      <c r="H23" s="20"/>
      <c r="I23" s="20"/>
      <c r="J23" s="20"/>
      <c r="K23" s="20"/>
      <c r="L23" s="20"/>
    </row>
    <row r="24" spans="1:13" ht="20.100000000000001" customHeight="1">
      <c r="B24" s="209"/>
      <c r="C24" s="209"/>
      <c r="D24" s="209"/>
      <c r="E24" s="19"/>
      <c r="F24" s="20" t="s">
        <v>7</v>
      </c>
      <c r="G24" s="20"/>
      <c r="H24" s="20"/>
      <c r="I24" s="20"/>
      <c r="J24" s="20"/>
      <c r="K24" s="20"/>
      <c r="L24" s="20"/>
    </row>
    <row r="25" spans="1:13" ht="20.100000000000001" customHeight="1">
      <c r="B25" s="210"/>
      <c r="C25" s="210"/>
      <c r="D25" s="210"/>
      <c r="E25" s="21"/>
      <c r="F25" s="22" t="s">
        <v>8</v>
      </c>
      <c r="G25" s="22"/>
      <c r="H25" s="22"/>
      <c r="I25" s="22"/>
      <c r="J25" s="22"/>
      <c r="K25" s="22"/>
      <c r="L25" s="22"/>
    </row>
    <row r="26" spans="1:13" ht="20.100000000000001" customHeight="1">
      <c r="B26" s="208" t="s">
        <v>9</v>
      </c>
      <c r="C26" s="208"/>
      <c r="D26" s="208"/>
      <c r="E26" s="19"/>
      <c r="F26" s="20" t="s">
        <v>10</v>
      </c>
      <c r="G26" s="20"/>
      <c r="H26" s="20"/>
      <c r="I26" s="20"/>
      <c r="J26" s="20"/>
      <c r="K26" s="20"/>
      <c r="L26" s="20"/>
    </row>
    <row r="27" spans="1:13" ht="20.100000000000001" customHeight="1">
      <c r="B27" s="210"/>
      <c r="C27" s="210"/>
      <c r="D27" s="210"/>
      <c r="E27" s="21"/>
      <c r="F27" s="22" t="s">
        <v>11</v>
      </c>
      <c r="G27" s="22"/>
      <c r="H27" s="22"/>
      <c r="I27" s="22"/>
      <c r="J27" s="22"/>
      <c r="K27" s="22"/>
      <c r="L27" s="22"/>
    </row>
    <row r="28" spans="1:13" ht="20.100000000000001" customHeight="1">
      <c r="B28" s="208" t="s">
        <v>12</v>
      </c>
      <c r="C28" s="208"/>
      <c r="D28" s="208"/>
      <c r="E28" s="19"/>
      <c r="F28" s="211" t="s">
        <v>13</v>
      </c>
      <c r="G28" s="211"/>
      <c r="H28" s="211"/>
      <c r="I28" s="211"/>
      <c r="J28" s="211"/>
      <c r="K28" s="211"/>
      <c r="L28" s="211"/>
    </row>
    <row r="29" spans="1:13" ht="20.100000000000001" customHeight="1">
      <c r="B29" s="210"/>
      <c r="C29" s="210"/>
      <c r="D29" s="210"/>
      <c r="E29" s="21"/>
      <c r="F29" s="212"/>
      <c r="G29" s="212"/>
      <c r="H29" s="212"/>
      <c r="I29" s="212"/>
      <c r="J29" s="212"/>
      <c r="K29" s="212"/>
      <c r="L29" s="212"/>
    </row>
    <row r="31" spans="1:13" ht="13.5" customHeight="1">
      <c r="A31" s="23"/>
      <c r="B31" s="24" t="s">
        <v>14</v>
      </c>
      <c r="C31" s="25"/>
      <c r="D31" s="25"/>
      <c r="E31" s="25"/>
      <c r="F31" s="25"/>
      <c r="G31" s="25"/>
      <c r="H31" s="25"/>
      <c r="I31" s="25"/>
      <c r="J31" s="25"/>
      <c r="K31" s="25"/>
      <c r="L31" s="25"/>
      <c r="M31" s="26"/>
    </row>
    <row r="32" spans="1:13" ht="13.5" customHeight="1">
      <c r="A32" s="23"/>
      <c r="B32" s="24" t="s">
        <v>15</v>
      </c>
      <c r="C32" s="27"/>
      <c r="D32" s="27"/>
      <c r="E32" s="27"/>
      <c r="F32" s="27"/>
      <c r="G32" s="27"/>
      <c r="H32" s="27"/>
      <c r="I32" s="27"/>
      <c r="J32" s="27"/>
      <c r="K32" s="27"/>
      <c r="L32" s="27"/>
      <c r="M32" s="26"/>
    </row>
    <row r="33" spans="1:13" ht="11.25" customHeight="1">
      <c r="A33" s="23"/>
      <c r="B33" s="24" t="s">
        <v>16</v>
      </c>
      <c r="C33" s="27"/>
      <c r="D33" s="27"/>
      <c r="E33" s="27"/>
      <c r="F33" s="27"/>
      <c r="G33" s="27"/>
      <c r="H33" s="27"/>
      <c r="I33" s="27"/>
      <c r="J33" s="27"/>
      <c r="K33" s="27"/>
      <c r="L33" s="27"/>
      <c r="M33" s="26"/>
    </row>
    <row r="34" spans="1:13" ht="13.5" customHeight="1">
      <c r="B34" s="27" t="s">
        <v>17</v>
      </c>
    </row>
    <row r="35" spans="1:13" ht="6" customHeight="1">
      <c r="B35" s="27"/>
      <c r="C35" s="27"/>
      <c r="D35" s="27"/>
      <c r="E35" s="27"/>
      <c r="F35" s="27"/>
      <c r="G35" s="27"/>
      <c r="H35" s="27"/>
      <c r="I35" s="27"/>
      <c r="J35" s="27"/>
      <c r="K35" s="27"/>
      <c r="L35" s="27"/>
    </row>
    <row r="41" spans="1:13">
      <c r="B41" s="28" t="s">
        <v>18</v>
      </c>
    </row>
    <row r="42" spans="1:13">
      <c r="B42" s="28" t="s">
        <v>19</v>
      </c>
    </row>
    <row r="43" spans="1:13">
      <c r="B43" s="28" t="s">
        <v>20</v>
      </c>
    </row>
    <row r="44" spans="1:13" ht="19.5" customHeight="1">
      <c r="B44" s="28" t="s">
        <v>21</v>
      </c>
    </row>
    <row r="45" spans="1:13">
      <c r="B45" s="28" t="s">
        <v>22</v>
      </c>
    </row>
    <row r="46" spans="1:13">
      <c r="A46" s="28"/>
      <c r="B46" s="28" t="s">
        <v>23</v>
      </c>
    </row>
    <row r="72" spans="5:6" ht="18">
      <c r="E72" s="29"/>
      <c r="F72" s="29"/>
    </row>
    <row r="76" spans="5:6" ht="4.5" customHeight="1"/>
    <row r="77" spans="5:6" ht="9.75" hidden="1" customHeight="1"/>
    <row r="78" spans="5:6" hidden="1"/>
    <row r="79" spans="5:6" hidden="1"/>
    <row r="80" spans="5:6" hidden="1"/>
    <row r="81" spans="1:12" ht="29.25" customHeight="1">
      <c r="A81" s="6"/>
      <c r="B81" s="6"/>
      <c r="C81" s="6"/>
      <c r="D81" s="6"/>
      <c r="E81" s="6"/>
      <c r="F81" s="6"/>
      <c r="G81" s="6"/>
      <c r="H81" s="6"/>
      <c r="I81" s="6"/>
      <c r="J81" s="6"/>
      <c r="K81" s="6"/>
      <c r="L81" s="6"/>
    </row>
    <row r="82" spans="1:12" ht="21.75" hidden="1" customHeight="1">
      <c r="A82" s="15"/>
      <c r="B82" s="15"/>
      <c r="C82" s="15"/>
      <c r="D82" s="15"/>
      <c r="E82" s="15"/>
      <c r="F82" s="15"/>
      <c r="G82" s="15"/>
      <c r="H82" s="15"/>
      <c r="I82" s="15"/>
      <c r="J82" s="15"/>
      <c r="K82" s="16"/>
      <c r="L82" s="15"/>
    </row>
  </sheetData>
  <sheetProtection algorithmName="SHA-512" hashValue="T3v8xxh/b5yIOSjXsc42inoyAJkew9GoGDd/nFL/QFQt72A7R3GEnRxT3Ld5ElYxo+3pSmt2EAywFT6srgaZTw==" saltValue="m98EvyIgPaNuJHx7xeUZug==" spinCount="100000" sheet="1" objects="1" scenarios="1"/>
  <mergeCells count="7">
    <mergeCell ref="B28:D29"/>
    <mergeCell ref="F28:L29"/>
    <mergeCell ref="F3:L4"/>
    <mergeCell ref="A8:L8"/>
    <mergeCell ref="B19:D22"/>
    <mergeCell ref="B23:D25"/>
    <mergeCell ref="B26:D27"/>
  </mergeCells>
  <printOptions horizontalCentered="1"/>
  <pageMargins left="0.19685039370078741" right="0.19685039370078741" top="0.59055118110236227" bottom="0.19685039370078741" header="0" footer="0.19685039370078741"/>
  <pageSetup paperSize="9" scale="82" orientation="portrait" r:id="rId1"/>
  <headerFooter alignWithMargins="0">
    <oddFooter>&amp;CPágina &amp;P</oddFooter>
  </headerFooter>
  <rowBreaks count="1" manualBreakCount="1">
    <brk id="15" max="16383" man="1"/>
  </row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660DEC-B0E5-4048-9B9E-7DB51925BB65}">
  <sheetPr codeName="Hoja18">
    <tabColor rgb="FF0070C0"/>
    <pageSetUpPr autoPageBreaks="0"/>
  </sheetPr>
  <dimension ref="A1:BD1264"/>
  <sheetViews>
    <sheetView showGridLines="0" topLeftCell="A3" zoomScale="85" zoomScaleNormal="85" zoomScaleSheetLayoutView="85" workbookViewId="0">
      <selection activeCell="H6" sqref="H6"/>
    </sheetView>
  </sheetViews>
  <sheetFormatPr defaultColWidth="0" defaultRowHeight="12.75"/>
  <cols>
    <col min="1" max="1" width="1.85546875" style="30" customWidth="1"/>
    <col min="2" max="2" width="23.85546875" style="30" customWidth="1"/>
    <col min="3" max="3" width="15.5703125" style="30" customWidth="1"/>
    <col min="4" max="4" width="3.140625" style="31" hidden="1" customWidth="1"/>
    <col min="5" max="5" width="2.28515625" style="30" customWidth="1"/>
    <col min="6" max="6" width="13.85546875" style="30" customWidth="1"/>
    <col min="7" max="7" width="13.7109375" style="64" customWidth="1"/>
    <col min="8" max="11" width="15.7109375" style="30" customWidth="1"/>
    <col min="12" max="12" width="22.5703125" style="30" customWidth="1"/>
    <col min="13" max="13" width="11.85546875" style="33" customWidth="1"/>
    <col min="14" max="16" width="20" style="65" customWidth="1"/>
    <col min="17" max="18" width="22" style="65" customWidth="1"/>
    <col min="19" max="19" width="22" style="33" customWidth="1"/>
    <col min="20" max="24" width="11.42578125" style="33" hidden="1" customWidth="1"/>
    <col min="25" max="26" width="11.42578125" style="23" hidden="1" customWidth="1"/>
    <col min="27" max="27" width="11.42578125" style="33" hidden="1" customWidth="1"/>
    <col min="28" max="36" width="11.42578125" style="30" hidden="1" customWidth="1"/>
    <col min="37" max="37" width="12.140625" style="30" hidden="1" customWidth="1"/>
    <col min="38" max="38" width="5.28515625" style="30" hidden="1" customWidth="1"/>
    <col min="39" max="39" width="11.42578125" style="23" hidden="1" customWidth="1"/>
    <col min="40" max="59" width="11.42578125" style="30" hidden="1" customWidth="1"/>
    <col min="60" max="16384" width="11.42578125" style="30" hidden="1"/>
  </cols>
  <sheetData>
    <row r="1" spans="2:56" ht="31.5">
      <c r="F1" s="32" t="s">
        <v>24</v>
      </c>
      <c r="G1" s="32"/>
      <c r="H1" s="32"/>
      <c r="I1" s="32"/>
      <c r="J1" s="32"/>
      <c r="K1" s="32"/>
      <c r="L1" s="32"/>
      <c r="N1" s="34" t="s">
        <v>24</v>
      </c>
      <c r="O1" s="34"/>
      <c r="P1" s="34"/>
      <c r="Q1" s="34"/>
      <c r="R1" s="34"/>
      <c r="S1" s="34"/>
    </row>
    <row r="2" spans="2:56" ht="28.5">
      <c r="F2" s="35" t="s">
        <v>25</v>
      </c>
      <c r="G2" s="35"/>
      <c r="H2" s="35"/>
      <c r="I2" s="35"/>
      <c r="J2" s="35"/>
      <c r="K2" s="35"/>
      <c r="L2" s="35"/>
      <c r="N2" s="35" t="s">
        <v>25</v>
      </c>
      <c r="O2" s="35"/>
      <c r="P2" s="35"/>
      <c r="Q2" s="35"/>
      <c r="R2" s="35"/>
      <c r="S2" s="35"/>
    </row>
    <row r="3" spans="2:56" s="36" customFormat="1" ht="33" customHeight="1">
      <c r="C3" s="37"/>
      <c r="D3" s="38"/>
      <c r="E3" s="39"/>
      <c r="F3" s="40"/>
      <c r="G3" s="40"/>
      <c r="H3" s="40"/>
      <c r="I3" s="40"/>
      <c r="J3" s="40"/>
      <c r="K3" s="40"/>
      <c r="L3" s="40"/>
      <c r="N3" s="40"/>
      <c r="O3" s="40"/>
      <c r="P3" s="40"/>
      <c r="Q3" s="40"/>
      <c r="R3" s="40"/>
      <c r="S3" s="40"/>
      <c r="AK3" s="30"/>
      <c r="AL3" s="30"/>
    </row>
    <row r="4" spans="2:56" ht="23.25" customHeight="1" thickBot="1">
      <c r="B4" s="37" t="s">
        <v>26</v>
      </c>
      <c r="F4" s="41" t="s">
        <v>27</v>
      </c>
      <c r="G4" s="41"/>
      <c r="H4" s="41"/>
      <c r="I4" s="41"/>
      <c r="J4" s="41"/>
      <c r="K4" s="42" t="s">
        <v>28</v>
      </c>
      <c r="L4" s="41" t="s">
        <v>470</v>
      </c>
      <c r="M4" s="30"/>
      <c r="N4" s="30"/>
      <c r="O4" s="30"/>
      <c r="P4" s="30"/>
      <c r="Q4" s="30"/>
      <c r="R4" s="30"/>
      <c r="S4" s="30"/>
      <c r="T4" s="30"/>
      <c r="U4" s="30"/>
      <c r="V4" s="30"/>
      <c r="W4" s="30"/>
      <c r="X4" s="30"/>
      <c r="AA4" s="30"/>
    </row>
    <row r="5" spans="2:56" ht="22.5" customHeight="1">
      <c r="B5" s="43" t="s">
        <v>29</v>
      </c>
      <c r="F5" s="44" t="s">
        <v>30</v>
      </c>
      <c r="G5" s="45"/>
      <c r="H5" s="46" t="s">
        <v>469</v>
      </c>
      <c r="I5" s="46"/>
      <c r="J5" s="47"/>
      <c r="K5" s="48"/>
      <c r="L5" s="49"/>
      <c r="M5" s="50"/>
      <c r="N5" s="30"/>
      <c r="O5" s="30"/>
      <c r="P5" s="30"/>
      <c r="Q5" s="51"/>
      <c r="R5" s="33"/>
      <c r="S5" s="30"/>
      <c r="T5" s="30"/>
      <c r="U5" s="30"/>
      <c r="V5" s="30"/>
      <c r="W5" s="30"/>
      <c r="X5" s="30"/>
      <c r="Y5" s="30"/>
      <c r="Z5" s="30"/>
      <c r="AA5" s="30"/>
      <c r="AM5" s="30"/>
    </row>
    <row r="6" spans="2:56" s="52" customFormat="1" ht="22.5" customHeight="1">
      <c r="D6" s="53"/>
      <c r="F6" s="44" t="s">
        <v>31</v>
      </c>
      <c r="G6" s="54"/>
      <c r="H6" s="55">
        <v>15261</v>
      </c>
      <c r="I6" s="55"/>
      <c r="J6" s="56"/>
      <c r="K6" s="45"/>
      <c r="L6" s="45"/>
      <c r="M6" s="54"/>
      <c r="Q6" s="57"/>
      <c r="R6" s="58"/>
      <c r="AK6" s="30"/>
      <c r="AL6" s="30"/>
    </row>
    <row r="7" spans="2:56" ht="30" customHeight="1" thickBot="1">
      <c r="F7" s="203" t="s">
        <v>32</v>
      </c>
      <c r="G7" s="41"/>
      <c r="H7" s="41"/>
      <c r="I7" s="41"/>
      <c r="J7" s="41"/>
      <c r="K7" s="41"/>
      <c r="L7" s="59" t="s">
        <v>210</v>
      </c>
      <c r="M7" s="30"/>
      <c r="N7" s="41" t="s">
        <v>33</v>
      </c>
      <c r="O7" s="60"/>
      <c r="P7" s="60"/>
      <c r="Q7" s="30"/>
      <c r="R7" s="30"/>
      <c r="S7" s="30"/>
      <c r="T7" s="30"/>
      <c r="U7" s="30" t="s">
        <v>34</v>
      </c>
      <c r="V7" s="30"/>
      <c r="W7" s="30"/>
      <c r="X7" s="30"/>
      <c r="Y7" s="30"/>
      <c r="Z7" s="30"/>
      <c r="AA7" s="30"/>
      <c r="AK7" s="30" t="s">
        <v>35</v>
      </c>
      <c r="AL7" s="61" t="s">
        <v>36</v>
      </c>
      <c r="AM7" s="30"/>
      <c r="AN7" s="62"/>
      <c r="AO7" s="62" t="s">
        <v>43</v>
      </c>
      <c r="AP7" s="62" t="s">
        <v>44</v>
      </c>
      <c r="AQ7" s="62" t="s">
        <v>45</v>
      </c>
      <c r="AR7" s="62" t="s">
        <v>46</v>
      </c>
      <c r="AS7" s="62" t="s">
        <v>47</v>
      </c>
      <c r="AT7" s="62" t="s">
        <v>210</v>
      </c>
      <c r="AU7" s="62" t="s">
        <v>210</v>
      </c>
      <c r="AV7" s="62" t="s">
        <v>210</v>
      </c>
      <c r="AW7" s="62" t="s">
        <v>210</v>
      </c>
      <c r="AX7" s="62" t="s">
        <v>210</v>
      </c>
      <c r="AY7" s="62"/>
      <c r="AZ7" s="63" t="e">
        <v>#REF!</v>
      </c>
      <c r="BA7" s="63" t="s">
        <v>37</v>
      </c>
      <c r="BB7" s="30" t="s">
        <v>38</v>
      </c>
    </row>
    <row r="8" spans="2:56" ht="13.5" thickBot="1">
      <c r="F8" s="64"/>
      <c r="G8" s="30"/>
      <c r="M8" s="30"/>
      <c r="S8" s="30"/>
      <c r="T8" s="30"/>
      <c r="U8" s="30" t="s">
        <v>39</v>
      </c>
      <c r="V8" s="30"/>
      <c r="W8" s="30"/>
      <c r="X8" s="30"/>
      <c r="AA8" s="30"/>
      <c r="AK8" s="66" t="s">
        <v>211</v>
      </c>
      <c r="AL8" s="66">
        <v>1</v>
      </c>
      <c r="AN8" s="62" t="s">
        <v>212</v>
      </c>
      <c r="AO8" s="62">
        <v>2</v>
      </c>
      <c r="AP8" s="62">
        <v>3</v>
      </c>
      <c r="AQ8" s="62">
        <v>4</v>
      </c>
      <c r="AR8" s="62">
        <v>5</v>
      </c>
      <c r="AS8" s="62">
        <v>6</v>
      </c>
      <c r="AT8" s="62">
        <v>7</v>
      </c>
      <c r="AU8" s="62">
        <v>8</v>
      </c>
      <c r="AV8" s="62">
        <v>9</v>
      </c>
      <c r="AW8" s="62">
        <v>10</v>
      </c>
      <c r="AX8" s="62">
        <v>11</v>
      </c>
      <c r="AY8" s="62"/>
      <c r="AZ8" s="67" t="s">
        <v>40</v>
      </c>
      <c r="BA8" s="68">
        <v>2</v>
      </c>
      <c r="BB8" s="30">
        <v>3</v>
      </c>
      <c r="BD8" s="69"/>
    </row>
    <row r="9" spans="2:56" ht="25.5" customHeight="1" thickTop="1" thickBot="1">
      <c r="B9" s="213" t="s">
        <v>41</v>
      </c>
      <c r="C9" s="214"/>
      <c r="D9" s="70"/>
      <c r="E9" s="71"/>
      <c r="F9" s="72" t="s">
        <v>42</v>
      </c>
      <c r="G9" s="72" t="s">
        <v>43</v>
      </c>
      <c r="H9" s="72" t="s">
        <v>44</v>
      </c>
      <c r="I9" s="72" t="s">
        <v>45</v>
      </c>
      <c r="J9" s="72" t="s">
        <v>46</v>
      </c>
      <c r="K9" s="72" t="s">
        <v>47</v>
      </c>
      <c r="L9" s="72" t="s">
        <v>210</v>
      </c>
      <c r="M9" s="73"/>
      <c r="N9" s="72" t="s">
        <v>48</v>
      </c>
      <c r="O9" s="72" t="s">
        <v>49</v>
      </c>
      <c r="P9" s="72" t="s">
        <v>50</v>
      </c>
      <c r="S9" s="30"/>
      <c r="T9" s="30"/>
      <c r="U9" s="30" t="s">
        <v>32</v>
      </c>
      <c r="V9" s="30"/>
      <c r="W9" s="30"/>
      <c r="X9" s="30"/>
      <c r="AA9" s="30"/>
      <c r="AK9" s="66" t="s">
        <v>213</v>
      </c>
      <c r="AL9" s="66">
        <v>2</v>
      </c>
      <c r="AN9" s="62">
        <v>1</v>
      </c>
      <c r="AO9" s="62">
        <v>22.19</v>
      </c>
      <c r="AP9" s="62">
        <v>22.28</v>
      </c>
      <c r="AQ9" s="62">
        <v>22.85</v>
      </c>
      <c r="AR9" s="62">
        <v>44.23</v>
      </c>
      <c r="AS9" s="62">
        <v>44.37</v>
      </c>
      <c r="AT9" s="62">
        <v>0</v>
      </c>
      <c r="AU9" s="62">
        <v>0</v>
      </c>
      <c r="AV9" s="62">
        <v>0</v>
      </c>
      <c r="AW9" s="62">
        <v>0</v>
      </c>
      <c r="AX9" s="62">
        <v>0</v>
      </c>
      <c r="AY9" s="62"/>
      <c r="AZ9" s="67" t="s">
        <v>51</v>
      </c>
      <c r="BA9" s="68">
        <v>3</v>
      </c>
      <c r="BB9" s="30">
        <v>4</v>
      </c>
      <c r="BD9" s="69"/>
    </row>
    <row r="10" spans="2:56" s="66" customFormat="1" ht="15" customHeight="1" thickTop="1" thickBot="1">
      <c r="B10" s="74"/>
      <c r="C10" s="74"/>
      <c r="D10" s="75"/>
      <c r="E10" s="76"/>
      <c r="F10" s="77">
        <v>1</v>
      </c>
      <c r="G10" s="78">
        <v>22.19</v>
      </c>
      <c r="H10" s="78">
        <v>22.28</v>
      </c>
      <c r="I10" s="78">
        <v>22.85</v>
      </c>
      <c r="J10" s="78">
        <v>44.23</v>
      </c>
      <c r="K10" s="78">
        <v>44.37</v>
      </c>
      <c r="L10" s="78" t="s">
        <v>210</v>
      </c>
      <c r="M10" s="79"/>
      <c r="N10" s="80" t="s">
        <v>40</v>
      </c>
      <c r="O10" s="81" t="s">
        <v>52</v>
      </c>
      <c r="P10" s="82">
        <v>2</v>
      </c>
      <c r="Q10" s="83"/>
      <c r="S10" s="84"/>
      <c r="T10" s="84"/>
      <c r="U10" s="84"/>
      <c r="V10" s="84"/>
      <c r="AK10" s="66" t="s">
        <v>214</v>
      </c>
      <c r="AL10" s="66">
        <v>3</v>
      </c>
      <c r="AN10" s="62">
        <v>2</v>
      </c>
      <c r="AO10" s="62">
        <v>22.19</v>
      </c>
      <c r="AP10" s="62">
        <v>22.28</v>
      </c>
      <c r="AQ10" s="62">
        <v>22.85</v>
      </c>
      <c r="AR10" s="62">
        <v>44.23</v>
      </c>
      <c r="AS10" s="62">
        <v>44.37</v>
      </c>
      <c r="AT10" s="62">
        <v>0</v>
      </c>
      <c r="AU10" s="62">
        <v>0</v>
      </c>
      <c r="AV10" s="62">
        <v>0</v>
      </c>
      <c r="AW10" s="62">
        <v>0</v>
      </c>
      <c r="AX10" s="62">
        <v>0</v>
      </c>
      <c r="AY10" s="62"/>
      <c r="AZ10" s="67" t="s">
        <v>53</v>
      </c>
      <c r="BA10" s="68">
        <v>1</v>
      </c>
      <c r="BB10" s="30">
        <v>2</v>
      </c>
      <c r="BD10" s="69"/>
    </row>
    <row r="11" spans="2:56" s="66" customFormat="1" ht="15" customHeight="1" thickTop="1">
      <c r="B11" s="85" t="s">
        <v>54</v>
      </c>
      <c r="C11" s="86" t="s">
        <v>40</v>
      </c>
      <c r="D11" s="76">
        <f>+VLOOKUP(C11,$AZ$8:$BB$40,3)</f>
        <v>3</v>
      </c>
      <c r="E11" s="76"/>
      <c r="F11" s="87">
        <v>2</v>
      </c>
      <c r="G11" s="88">
        <v>22.19</v>
      </c>
      <c r="H11" s="88">
        <v>22.28</v>
      </c>
      <c r="I11" s="88">
        <v>22.85</v>
      </c>
      <c r="J11" s="88">
        <v>44.23</v>
      </c>
      <c r="K11" s="88">
        <v>44.37</v>
      </c>
      <c r="L11" s="88" t="s">
        <v>210</v>
      </c>
      <c r="M11" s="79"/>
      <c r="N11" s="89" t="s">
        <v>51</v>
      </c>
      <c r="O11" s="90" t="s">
        <v>55</v>
      </c>
      <c r="P11" s="91">
        <v>3</v>
      </c>
      <c r="Q11" s="83"/>
      <c r="S11" s="84"/>
      <c r="T11" s="84"/>
      <c r="U11" s="84"/>
      <c r="V11" s="84"/>
      <c r="AK11" s="66" t="s">
        <v>215</v>
      </c>
      <c r="AL11" s="66">
        <v>4</v>
      </c>
      <c r="AN11" s="62">
        <v>3</v>
      </c>
      <c r="AO11" s="62">
        <v>22.19</v>
      </c>
      <c r="AP11" s="62">
        <v>22.28</v>
      </c>
      <c r="AQ11" s="62">
        <v>22.85</v>
      </c>
      <c r="AR11" s="62">
        <v>44.23</v>
      </c>
      <c r="AS11" s="62">
        <v>44.37</v>
      </c>
      <c r="AT11" s="62">
        <v>0</v>
      </c>
      <c r="AU11" s="62">
        <v>0</v>
      </c>
      <c r="AV11" s="62">
        <v>0</v>
      </c>
      <c r="AW11" s="62">
        <v>0</v>
      </c>
      <c r="AX11" s="62">
        <v>0</v>
      </c>
      <c r="AY11" s="62"/>
      <c r="AZ11" s="67" t="s">
        <v>56</v>
      </c>
      <c r="BA11" s="68">
        <v>4</v>
      </c>
      <c r="BB11" s="30">
        <v>5</v>
      </c>
      <c r="BD11" s="69"/>
    </row>
    <row r="12" spans="2:56" s="66" customFormat="1" ht="15" customHeight="1" thickBot="1">
      <c r="B12" s="92" t="s">
        <v>57</v>
      </c>
      <c r="C12" s="93">
        <v>1</v>
      </c>
      <c r="D12" s="94">
        <f>C12</f>
        <v>1</v>
      </c>
      <c r="E12" s="76"/>
      <c r="F12" s="87">
        <v>3</v>
      </c>
      <c r="G12" s="88">
        <v>22.19</v>
      </c>
      <c r="H12" s="88">
        <v>22.28</v>
      </c>
      <c r="I12" s="88">
        <v>22.85</v>
      </c>
      <c r="J12" s="88">
        <v>44.23</v>
      </c>
      <c r="K12" s="88">
        <v>44.37</v>
      </c>
      <c r="L12" s="88" t="s">
        <v>210</v>
      </c>
      <c r="M12" s="79"/>
      <c r="N12" s="89" t="s">
        <v>53</v>
      </c>
      <c r="O12" s="90" t="s">
        <v>58</v>
      </c>
      <c r="P12" s="91">
        <v>1</v>
      </c>
      <c r="Q12" s="83"/>
      <c r="S12" s="84"/>
      <c r="T12" s="84"/>
      <c r="U12" s="84"/>
      <c r="V12" s="84"/>
      <c r="AK12" s="66" t="s">
        <v>216</v>
      </c>
      <c r="AL12" s="66">
        <v>5</v>
      </c>
      <c r="AN12" s="62">
        <v>4</v>
      </c>
      <c r="AO12" s="62">
        <v>22.19</v>
      </c>
      <c r="AP12" s="62">
        <v>22.28</v>
      </c>
      <c r="AQ12" s="62">
        <v>22.85</v>
      </c>
      <c r="AR12" s="62">
        <v>44.23</v>
      </c>
      <c r="AS12" s="62">
        <v>44.37</v>
      </c>
      <c r="AT12" s="62">
        <v>0</v>
      </c>
      <c r="AU12" s="62">
        <v>0</v>
      </c>
      <c r="AV12" s="62">
        <v>0</v>
      </c>
      <c r="AW12" s="62">
        <v>0</v>
      </c>
      <c r="AX12" s="62">
        <v>0</v>
      </c>
      <c r="AY12" s="62"/>
      <c r="AZ12" s="67" t="s">
        <v>59</v>
      </c>
      <c r="BA12" s="68">
        <v>4</v>
      </c>
      <c r="BB12" s="30">
        <v>5</v>
      </c>
      <c r="BD12" s="69"/>
    </row>
    <row r="13" spans="2:56" s="66" customFormat="1" ht="15" customHeight="1" thickTop="1" thickBot="1">
      <c r="B13" s="95"/>
      <c r="C13" s="96"/>
      <c r="D13" s="75"/>
      <c r="E13" s="76"/>
      <c r="F13" s="87">
        <v>4</v>
      </c>
      <c r="G13" s="88">
        <v>22.19</v>
      </c>
      <c r="H13" s="88">
        <v>22.28</v>
      </c>
      <c r="I13" s="88">
        <v>22.85</v>
      </c>
      <c r="J13" s="88">
        <v>44.23</v>
      </c>
      <c r="K13" s="88">
        <v>44.37</v>
      </c>
      <c r="L13" s="88" t="s">
        <v>210</v>
      </c>
      <c r="M13" s="79"/>
      <c r="N13" s="89" t="s">
        <v>56</v>
      </c>
      <c r="O13" s="90" t="s">
        <v>60</v>
      </c>
      <c r="P13" s="91">
        <v>4</v>
      </c>
      <c r="Q13" s="83"/>
      <c r="S13" s="84"/>
      <c r="T13" s="84"/>
      <c r="U13" s="84"/>
      <c r="V13" s="84"/>
      <c r="AK13" s="66" t="s">
        <v>217</v>
      </c>
      <c r="AL13" s="66">
        <v>6</v>
      </c>
      <c r="AN13" s="62">
        <v>5</v>
      </c>
      <c r="AO13" s="62">
        <v>22.19</v>
      </c>
      <c r="AP13" s="62">
        <v>22.28</v>
      </c>
      <c r="AQ13" s="62">
        <v>22.85</v>
      </c>
      <c r="AR13" s="62">
        <v>44.23</v>
      </c>
      <c r="AS13" s="62">
        <v>44.37</v>
      </c>
      <c r="AT13" s="62">
        <v>0</v>
      </c>
      <c r="AU13" s="62">
        <v>0</v>
      </c>
      <c r="AV13" s="62">
        <v>0</v>
      </c>
      <c r="AW13" s="62">
        <v>0</v>
      </c>
      <c r="AX13" s="62">
        <v>0</v>
      </c>
      <c r="AY13" s="62"/>
      <c r="AZ13" s="67" t="s">
        <v>61</v>
      </c>
      <c r="BA13" s="68">
        <v>3</v>
      </c>
      <c r="BB13" s="30">
        <v>4</v>
      </c>
      <c r="BD13" s="69"/>
    </row>
    <row r="14" spans="2:56" s="66" customFormat="1" ht="15" customHeight="1">
      <c r="B14" s="215" t="s">
        <v>62</v>
      </c>
      <c r="C14" s="217">
        <f>VLOOKUP(IF(D12&gt;500,CEILING(D12,100),IF(D12&gt;300,CEILING(D12,50),IF(D12&gt;70,CEILING(D12,5),D12))),$AN$7:$AX$265,$D$11,TRUE)</f>
        <v>22.28</v>
      </c>
      <c r="D14" s="75"/>
      <c r="E14" s="76"/>
      <c r="F14" s="87">
        <v>5</v>
      </c>
      <c r="G14" s="88">
        <v>22.19</v>
      </c>
      <c r="H14" s="88">
        <v>22.28</v>
      </c>
      <c r="I14" s="88">
        <v>22.85</v>
      </c>
      <c r="J14" s="88">
        <v>44.23</v>
      </c>
      <c r="K14" s="88">
        <v>44.37</v>
      </c>
      <c r="L14" s="88" t="s">
        <v>210</v>
      </c>
      <c r="M14" s="79"/>
      <c r="N14" s="89" t="s">
        <v>59</v>
      </c>
      <c r="O14" s="90" t="s">
        <v>63</v>
      </c>
      <c r="P14" s="91">
        <v>4</v>
      </c>
      <c r="Q14" s="83"/>
      <c r="S14" s="84"/>
      <c r="T14" s="84"/>
      <c r="U14" s="84"/>
      <c r="V14" s="84"/>
      <c r="AK14" s="66" t="s">
        <v>218</v>
      </c>
      <c r="AL14" s="66">
        <v>7</v>
      </c>
      <c r="AN14" s="62">
        <v>6</v>
      </c>
      <c r="AO14" s="62">
        <v>23.48</v>
      </c>
      <c r="AP14" s="62">
        <v>23.71</v>
      </c>
      <c r="AQ14" s="62">
        <v>24.49</v>
      </c>
      <c r="AR14" s="62">
        <v>46.75</v>
      </c>
      <c r="AS14" s="62">
        <v>47.1</v>
      </c>
      <c r="AT14" s="62">
        <v>0</v>
      </c>
      <c r="AU14" s="62">
        <v>0</v>
      </c>
      <c r="AV14" s="62">
        <v>0</v>
      </c>
      <c r="AW14" s="62">
        <v>0</v>
      </c>
      <c r="AX14" s="62">
        <v>0</v>
      </c>
      <c r="AY14" s="62"/>
      <c r="AZ14" s="67" t="s">
        <v>64</v>
      </c>
      <c r="BA14" s="68">
        <v>4</v>
      </c>
      <c r="BB14" s="30">
        <v>5</v>
      </c>
      <c r="BD14" s="69"/>
    </row>
    <row r="15" spans="2:56" s="66" customFormat="1" ht="15" customHeight="1" thickBot="1">
      <c r="B15" s="216"/>
      <c r="C15" s="218"/>
      <c r="D15" s="75"/>
      <c r="E15" s="76"/>
      <c r="F15" s="87">
        <v>6</v>
      </c>
      <c r="G15" s="88">
        <v>23.48</v>
      </c>
      <c r="H15" s="88">
        <v>23.71</v>
      </c>
      <c r="I15" s="88">
        <v>24.49</v>
      </c>
      <c r="J15" s="88">
        <v>46.75</v>
      </c>
      <c r="K15" s="88">
        <v>47.1</v>
      </c>
      <c r="L15" s="88" t="s">
        <v>210</v>
      </c>
      <c r="M15" s="79"/>
      <c r="N15" s="89" t="s">
        <v>61</v>
      </c>
      <c r="O15" s="90" t="s">
        <v>65</v>
      </c>
      <c r="P15" s="91">
        <v>3</v>
      </c>
      <c r="Q15" s="83"/>
      <c r="S15" s="84"/>
      <c r="T15" s="84"/>
      <c r="U15" s="84"/>
      <c r="V15" s="84"/>
      <c r="AK15" s="66" t="s">
        <v>219</v>
      </c>
      <c r="AL15" s="66">
        <v>8</v>
      </c>
      <c r="AN15" s="62">
        <v>7</v>
      </c>
      <c r="AO15" s="62">
        <v>24.75</v>
      </c>
      <c r="AP15" s="62">
        <v>25.17</v>
      </c>
      <c r="AQ15" s="62">
        <v>26.14</v>
      </c>
      <c r="AR15" s="62">
        <v>49.32</v>
      </c>
      <c r="AS15" s="62">
        <v>49.85</v>
      </c>
      <c r="AT15" s="62">
        <v>0</v>
      </c>
      <c r="AU15" s="62">
        <v>0</v>
      </c>
      <c r="AV15" s="62">
        <v>0</v>
      </c>
      <c r="AW15" s="62">
        <v>0</v>
      </c>
      <c r="AX15" s="62">
        <v>0</v>
      </c>
      <c r="AY15" s="62"/>
      <c r="AZ15" s="67" t="s">
        <v>66</v>
      </c>
      <c r="BA15" s="68">
        <v>4</v>
      </c>
      <c r="BB15" s="30">
        <v>5</v>
      </c>
      <c r="BD15" s="69"/>
    </row>
    <row r="16" spans="2:56" s="66" customFormat="1" ht="15" customHeight="1" thickBot="1">
      <c r="C16" s="76"/>
      <c r="D16" s="75"/>
      <c r="E16" s="76"/>
      <c r="F16" s="87">
        <v>7</v>
      </c>
      <c r="G16" s="88">
        <v>24.75</v>
      </c>
      <c r="H16" s="88">
        <v>25.17</v>
      </c>
      <c r="I16" s="88">
        <v>26.14</v>
      </c>
      <c r="J16" s="88">
        <v>49.32</v>
      </c>
      <c r="K16" s="88">
        <v>49.85</v>
      </c>
      <c r="L16" s="88" t="s">
        <v>210</v>
      </c>
      <c r="M16" s="79"/>
      <c r="N16" s="89" t="s">
        <v>64</v>
      </c>
      <c r="O16" s="90" t="s">
        <v>67</v>
      </c>
      <c r="P16" s="91">
        <v>4</v>
      </c>
      <c r="Q16" s="83"/>
      <c r="S16" s="84"/>
      <c r="T16" s="84"/>
      <c r="U16" s="84"/>
      <c r="V16" s="84"/>
      <c r="AK16" s="66" t="s">
        <v>220</v>
      </c>
      <c r="AL16" s="66">
        <v>9</v>
      </c>
      <c r="AN16" s="62">
        <v>8</v>
      </c>
      <c r="AO16" s="62">
        <v>26.04</v>
      </c>
      <c r="AP16" s="62">
        <v>26.59</v>
      </c>
      <c r="AQ16" s="62">
        <v>27.76</v>
      </c>
      <c r="AR16" s="62">
        <v>51.9</v>
      </c>
      <c r="AS16" s="62">
        <v>52.58</v>
      </c>
      <c r="AT16" s="62">
        <v>0</v>
      </c>
      <c r="AU16" s="62">
        <v>0</v>
      </c>
      <c r="AV16" s="62">
        <v>0</v>
      </c>
      <c r="AW16" s="62">
        <v>0</v>
      </c>
      <c r="AX16" s="62">
        <v>0</v>
      </c>
      <c r="AY16" s="62"/>
      <c r="AZ16" s="67" t="s">
        <v>68</v>
      </c>
      <c r="BA16" s="68">
        <v>4</v>
      </c>
      <c r="BB16" s="30">
        <v>5</v>
      </c>
      <c r="BD16" s="69"/>
    </row>
    <row r="17" spans="2:56" s="66" customFormat="1" ht="15" customHeight="1" thickBot="1">
      <c r="B17" s="97" t="s">
        <v>69</v>
      </c>
      <c r="C17" s="98" t="str">
        <f>IFERROR(CONCATENATE("ZONA ",VLOOKUP($C$11,$N$9:$P$38,3,FALSE)),C11)</f>
        <v>ZONA 2</v>
      </c>
      <c r="D17" s="75"/>
      <c r="E17" s="76"/>
      <c r="F17" s="87">
        <v>8</v>
      </c>
      <c r="G17" s="88">
        <v>26.04</v>
      </c>
      <c r="H17" s="88">
        <v>26.59</v>
      </c>
      <c r="I17" s="88">
        <v>27.76</v>
      </c>
      <c r="J17" s="88">
        <v>51.9</v>
      </c>
      <c r="K17" s="88">
        <v>52.58</v>
      </c>
      <c r="L17" s="88" t="s">
        <v>210</v>
      </c>
      <c r="M17" s="79"/>
      <c r="N17" s="89" t="s">
        <v>66</v>
      </c>
      <c r="O17" s="90" t="s">
        <v>70</v>
      </c>
      <c r="P17" s="91">
        <v>4</v>
      </c>
      <c r="Q17" s="83"/>
      <c r="S17" s="84"/>
      <c r="T17" s="84"/>
      <c r="U17" s="84"/>
      <c r="V17" s="84"/>
      <c r="AK17" s="66" t="s">
        <v>221</v>
      </c>
      <c r="AL17" s="66">
        <v>10</v>
      </c>
      <c r="AN17" s="62">
        <v>9</v>
      </c>
      <c r="AO17" s="62">
        <v>27.35</v>
      </c>
      <c r="AP17" s="62">
        <v>28.04</v>
      </c>
      <c r="AQ17" s="62">
        <v>29.42</v>
      </c>
      <c r="AR17" s="62">
        <v>54.42</v>
      </c>
      <c r="AS17" s="62">
        <v>55.31</v>
      </c>
      <c r="AT17" s="62">
        <v>0</v>
      </c>
      <c r="AU17" s="62">
        <v>0</v>
      </c>
      <c r="AV17" s="62">
        <v>0</v>
      </c>
      <c r="AW17" s="62">
        <v>0</v>
      </c>
      <c r="AX17" s="62">
        <v>0</v>
      </c>
      <c r="AY17" s="62"/>
      <c r="AZ17" s="67" t="s">
        <v>71</v>
      </c>
      <c r="BA17" s="68">
        <v>3</v>
      </c>
      <c r="BB17" s="30">
        <v>4</v>
      </c>
      <c r="BD17" s="69"/>
    </row>
    <row r="18" spans="2:56" s="66" customFormat="1" ht="15" customHeight="1">
      <c r="B18" s="97" t="s">
        <v>72</v>
      </c>
      <c r="C18" s="98">
        <f>VLOOKUP(IF(D12&gt;500,CEILING(D12,100),IF(D12&gt;300,CEILING(D12,50),IF(D12&gt;70,CEILING(D12,5),D12))),$AN$7:$AX$265,$D$18,TRUE)</f>
        <v>22.28</v>
      </c>
      <c r="D18" s="75">
        <f>+VLOOKUP(C17,AZ36:BB40,3)</f>
        <v>3</v>
      </c>
      <c r="E18" s="76"/>
      <c r="F18" s="87">
        <v>9</v>
      </c>
      <c r="G18" s="88">
        <v>27.35</v>
      </c>
      <c r="H18" s="88">
        <v>28.04</v>
      </c>
      <c r="I18" s="88">
        <v>29.42</v>
      </c>
      <c r="J18" s="88">
        <v>54.42</v>
      </c>
      <c r="K18" s="88">
        <v>55.31</v>
      </c>
      <c r="L18" s="88" t="s">
        <v>210</v>
      </c>
      <c r="M18" s="79"/>
      <c r="N18" s="89" t="s">
        <v>68</v>
      </c>
      <c r="O18" s="90" t="s">
        <v>73</v>
      </c>
      <c r="P18" s="91">
        <v>4</v>
      </c>
      <c r="Q18" s="83"/>
      <c r="S18" s="84"/>
      <c r="T18" s="84"/>
      <c r="U18" s="84"/>
      <c r="V18" s="84"/>
      <c r="AK18" s="66" t="s">
        <v>222</v>
      </c>
      <c r="AL18" s="66">
        <v>11</v>
      </c>
      <c r="AN18" s="62">
        <v>10</v>
      </c>
      <c r="AO18" s="62">
        <v>28.64</v>
      </c>
      <c r="AP18" s="62">
        <v>29.49</v>
      </c>
      <c r="AQ18" s="62">
        <v>31.06</v>
      </c>
      <c r="AR18" s="62">
        <v>57</v>
      </c>
      <c r="AS18" s="62">
        <v>58.06</v>
      </c>
      <c r="AT18" s="62">
        <v>0</v>
      </c>
      <c r="AU18" s="62">
        <v>0</v>
      </c>
      <c r="AV18" s="62">
        <v>0</v>
      </c>
      <c r="AW18" s="62">
        <v>0</v>
      </c>
      <c r="AX18" s="62">
        <v>0</v>
      </c>
      <c r="AY18" s="62"/>
      <c r="AZ18" s="67" t="s">
        <v>74</v>
      </c>
      <c r="BA18" s="68">
        <v>1</v>
      </c>
      <c r="BB18" s="30">
        <v>2</v>
      </c>
      <c r="BD18" s="69"/>
    </row>
    <row r="19" spans="2:56" s="66" customFormat="1" ht="15" customHeight="1">
      <c r="D19" s="75"/>
      <c r="E19" s="76"/>
      <c r="F19" s="87">
        <v>10</v>
      </c>
      <c r="G19" s="88">
        <v>28.64</v>
      </c>
      <c r="H19" s="88">
        <v>29.49</v>
      </c>
      <c r="I19" s="88">
        <v>31.06</v>
      </c>
      <c r="J19" s="88">
        <v>57</v>
      </c>
      <c r="K19" s="88">
        <v>58.06</v>
      </c>
      <c r="L19" s="88" t="s">
        <v>210</v>
      </c>
      <c r="M19" s="79"/>
      <c r="N19" s="89" t="s">
        <v>71</v>
      </c>
      <c r="O19" s="90" t="s">
        <v>75</v>
      </c>
      <c r="P19" s="91">
        <v>3</v>
      </c>
      <c r="Q19" s="83"/>
      <c r="S19" s="84"/>
      <c r="T19" s="84"/>
      <c r="U19" s="84"/>
      <c r="V19" s="84"/>
      <c r="AK19" s="66" t="s">
        <v>223</v>
      </c>
      <c r="AL19" s="66">
        <v>12</v>
      </c>
      <c r="AN19" s="62">
        <v>11</v>
      </c>
      <c r="AO19" s="62">
        <v>29.19</v>
      </c>
      <c r="AP19" s="62">
        <v>30.43</v>
      </c>
      <c r="AQ19" s="62">
        <v>33.01</v>
      </c>
      <c r="AR19" s="62">
        <v>73</v>
      </c>
      <c r="AS19" s="62">
        <v>74.25</v>
      </c>
      <c r="AT19" s="62">
        <v>0</v>
      </c>
      <c r="AU19" s="62">
        <v>0</v>
      </c>
      <c r="AV19" s="62">
        <v>0</v>
      </c>
      <c r="AW19" s="62">
        <v>0</v>
      </c>
      <c r="AX19" s="62">
        <v>0</v>
      </c>
      <c r="AY19" s="62"/>
      <c r="AZ19" s="67" t="s">
        <v>76</v>
      </c>
      <c r="BA19" s="68">
        <v>3</v>
      </c>
      <c r="BB19" s="30">
        <v>4</v>
      </c>
      <c r="BD19" s="69"/>
    </row>
    <row r="20" spans="2:56" s="66" customFormat="1" ht="15" customHeight="1">
      <c r="D20" s="75"/>
      <c r="E20" s="76"/>
      <c r="F20" s="87">
        <v>11</v>
      </c>
      <c r="G20" s="88">
        <v>29.19</v>
      </c>
      <c r="H20" s="88">
        <v>30.43</v>
      </c>
      <c r="I20" s="88">
        <v>33.01</v>
      </c>
      <c r="J20" s="88">
        <v>73</v>
      </c>
      <c r="K20" s="88">
        <v>74.25</v>
      </c>
      <c r="L20" s="88" t="s">
        <v>210</v>
      </c>
      <c r="M20" s="99"/>
      <c r="N20" s="89" t="s">
        <v>74</v>
      </c>
      <c r="O20" s="90" t="s">
        <v>77</v>
      </c>
      <c r="P20" s="91">
        <v>1</v>
      </c>
      <c r="Q20" s="83"/>
      <c r="S20" s="84"/>
      <c r="T20" s="84"/>
      <c r="U20" s="84"/>
      <c r="V20" s="84"/>
      <c r="AK20" s="66" t="s">
        <v>224</v>
      </c>
      <c r="AL20" s="66">
        <v>13</v>
      </c>
      <c r="AN20" s="62">
        <v>12</v>
      </c>
      <c r="AO20" s="62">
        <v>29.75</v>
      </c>
      <c r="AP20" s="62">
        <v>31.39</v>
      </c>
      <c r="AQ20" s="62">
        <v>35.020000000000003</v>
      </c>
      <c r="AR20" s="62">
        <v>77.61</v>
      </c>
      <c r="AS20" s="62">
        <v>78.84</v>
      </c>
      <c r="AT20" s="62">
        <v>0</v>
      </c>
      <c r="AU20" s="62">
        <v>0</v>
      </c>
      <c r="AV20" s="62">
        <v>0</v>
      </c>
      <c r="AW20" s="62">
        <v>0</v>
      </c>
      <c r="AX20" s="62">
        <v>0</v>
      </c>
      <c r="AY20" s="62"/>
      <c r="AZ20" s="67" t="s">
        <v>78</v>
      </c>
      <c r="BA20" s="68">
        <v>2</v>
      </c>
      <c r="BB20" s="30">
        <v>3</v>
      </c>
      <c r="BD20" s="69"/>
    </row>
    <row r="21" spans="2:56" s="66" customFormat="1" ht="15" customHeight="1">
      <c r="B21" s="100" t="s">
        <v>79</v>
      </c>
      <c r="D21" s="75"/>
      <c r="E21" s="76"/>
      <c r="F21" s="87">
        <v>12</v>
      </c>
      <c r="G21" s="88">
        <v>29.75</v>
      </c>
      <c r="H21" s="88">
        <v>31.39</v>
      </c>
      <c r="I21" s="88">
        <v>35.020000000000003</v>
      </c>
      <c r="J21" s="88">
        <v>77.61</v>
      </c>
      <c r="K21" s="88">
        <v>78.84</v>
      </c>
      <c r="L21" s="88" t="s">
        <v>210</v>
      </c>
      <c r="M21" s="101" t="s">
        <v>80</v>
      </c>
      <c r="N21" s="89" t="s">
        <v>76</v>
      </c>
      <c r="O21" s="90" t="s">
        <v>81</v>
      </c>
      <c r="P21" s="91">
        <v>3</v>
      </c>
      <c r="Q21" s="83"/>
      <c r="S21" s="84"/>
      <c r="T21" s="84"/>
      <c r="U21" s="84"/>
      <c r="V21" s="84"/>
      <c r="AK21" s="66" t="s">
        <v>225</v>
      </c>
      <c r="AL21" s="66">
        <v>14</v>
      </c>
      <c r="AN21" s="62">
        <v>13</v>
      </c>
      <c r="AO21" s="62">
        <v>30.31</v>
      </c>
      <c r="AP21" s="62">
        <v>32.35</v>
      </c>
      <c r="AQ21" s="62">
        <v>36.97</v>
      </c>
      <c r="AR21" s="62">
        <v>82.22</v>
      </c>
      <c r="AS21" s="62">
        <v>83.41</v>
      </c>
      <c r="AT21" s="62">
        <v>0</v>
      </c>
      <c r="AU21" s="62">
        <v>0</v>
      </c>
      <c r="AV21" s="62">
        <v>0</v>
      </c>
      <c r="AW21" s="62">
        <v>0</v>
      </c>
      <c r="AX21" s="62">
        <v>0</v>
      </c>
      <c r="AY21" s="62"/>
      <c r="AZ21" s="67" t="s">
        <v>82</v>
      </c>
      <c r="BA21" s="68">
        <v>4</v>
      </c>
      <c r="BB21" s="30">
        <v>5</v>
      </c>
      <c r="BD21" s="69"/>
    </row>
    <row r="22" spans="2:56" s="66" customFormat="1" ht="15" customHeight="1">
      <c r="B22" s="100" t="s">
        <v>83</v>
      </c>
      <c r="C22" s="102"/>
      <c r="D22" s="75"/>
      <c r="E22" s="76"/>
      <c r="F22" s="87">
        <v>13</v>
      </c>
      <c r="G22" s="88">
        <v>30.31</v>
      </c>
      <c r="H22" s="88">
        <v>32.35</v>
      </c>
      <c r="I22" s="88">
        <v>36.97</v>
      </c>
      <c r="J22" s="88">
        <v>82.22</v>
      </c>
      <c r="K22" s="88">
        <v>83.41</v>
      </c>
      <c r="L22" s="88" t="s">
        <v>210</v>
      </c>
      <c r="M22" s="79"/>
      <c r="N22" s="89" t="s">
        <v>78</v>
      </c>
      <c r="O22" s="90" t="s">
        <v>84</v>
      </c>
      <c r="P22" s="91">
        <v>2</v>
      </c>
      <c r="Q22" s="83"/>
      <c r="S22" s="84"/>
      <c r="T22" s="84"/>
      <c r="U22" s="84"/>
      <c r="V22" s="84"/>
      <c r="AK22" s="66" t="s">
        <v>226</v>
      </c>
      <c r="AL22" s="66">
        <v>15</v>
      </c>
      <c r="AN22" s="62">
        <v>14</v>
      </c>
      <c r="AO22" s="62">
        <v>30.87</v>
      </c>
      <c r="AP22" s="62">
        <v>33.31</v>
      </c>
      <c r="AQ22" s="62">
        <v>38.96</v>
      </c>
      <c r="AR22" s="62">
        <v>86.82</v>
      </c>
      <c r="AS22" s="62">
        <v>87.97</v>
      </c>
      <c r="AT22" s="62">
        <v>0</v>
      </c>
      <c r="AU22" s="62">
        <v>0</v>
      </c>
      <c r="AV22" s="62">
        <v>0</v>
      </c>
      <c r="AW22" s="62">
        <v>0</v>
      </c>
      <c r="AX22" s="62">
        <v>0</v>
      </c>
      <c r="AY22" s="62"/>
      <c r="AZ22" s="67" t="s">
        <v>85</v>
      </c>
      <c r="BA22" s="68">
        <v>3</v>
      </c>
      <c r="BB22" s="30">
        <v>4</v>
      </c>
      <c r="BD22" s="69"/>
    </row>
    <row r="23" spans="2:56" s="66" customFormat="1" ht="15" customHeight="1">
      <c r="D23" s="75"/>
      <c r="E23" s="76"/>
      <c r="F23" s="87">
        <v>14</v>
      </c>
      <c r="G23" s="88">
        <v>30.87</v>
      </c>
      <c r="H23" s="88">
        <v>33.31</v>
      </c>
      <c r="I23" s="88">
        <v>38.96</v>
      </c>
      <c r="J23" s="88">
        <v>86.82</v>
      </c>
      <c r="K23" s="88">
        <v>87.97</v>
      </c>
      <c r="L23" s="88" t="s">
        <v>210</v>
      </c>
      <c r="M23" s="79"/>
      <c r="N23" s="89" t="s">
        <v>82</v>
      </c>
      <c r="O23" s="90" t="s">
        <v>86</v>
      </c>
      <c r="P23" s="91">
        <v>4</v>
      </c>
      <c r="Q23" s="83"/>
      <c r="S23" s="84"/>
      <c r="T23" s="84"/>
      <c r="U23" s="84"/>
      <c r="V23" s="84"/>
      <c r="AK23" s="66" t="s">
        <v>227</v>
      </c>
      <c r="AL23" s="66">
        <v>16</v>
      </c>
      <c r="AN23" s="62">
        <v>15</v>
      </c>
      <c r="AO23" s="62">
        <v>31.43</v>
      </c>
      <c r="AP23" s="62">
        <v>34.25</v>
      </c>
      <c r="AQ23" s="62">
        <v>40.93</v>
      </c>
      <c r="AR23" s="62">
        <v>91.44</v>
      </c>
      <c r="AS23" s="62">
        <v>92.57</v>
      </c>
      <c r="AT23" s="62">
        <v>0</v>
      </c>
      <c r="AU23" s="62">
        <v>0</v>
      </c>
      <c r="AV23" s="62">
        <v>0</v>
      </c>
      <c r="AW23" s="62">
        <v>0</v>
      </c>
      <c r="AX23" s="62">
        <v>0</v>
      </c>
      <c r="AY23" s="62"/>
      <c r="AZ23" s="67" t="s">
        <v>87</v>
      </c>
      <c r="BA23" s="68">
        <v>1</v>
      </c>
      <c r="BB23" s="30">
        <v>2</v>
      </c>
      <c r="BD23" s="69"/>
    </row>
    <row r="24" spans="2:56" s="66" customFormat="1" ht="15" customHeight="1">
      <c r="C24" s="103"/>
      <c r="D24" s="75"/>
      <c r="E24" s="76"/>
      <c r="F24" s="87">
        <v>15</v>
      </c>
      <c r="G24" s="88">
        <v>31.43</v>
      </c>
      <c r="H24" s="88">
        <v>34.25</v>
      </c>
      <c r="I24" s="88">
        <v>40.93</v>
      </c>
      <c r="J24" s="88">
        <v>91.44</v>
      </c>
      <c r="K24" s="88">
        <v>92.57</v>
      </c>
      <c r="L24" s="88" t="s">
        <v>210</v>
      </c>
      <c r="M24" s="99"/>
      <c r="N24" s="89" t="s">
        <v>85</v>
      </c>
      <c r="O24" s="90" t="s">
        <v>88</v>
      </c>
      <c r="P24" s="91">
        <v>3</v>
      </c>
      <c r="Q24" s="83"/>
      <c r="S24" s="84"/>
      <c r="T24" s="84"/>
      <c r="U24" s="84"/>
      <c r="V24" s="84"/>
      <c r="AK24" s="66" t="s">
        <v>228</v>
      </c>
      <c r="AL24" s="66">
        <v>17</v>
      </c>
      <c r="AN24" s="62">
        <v>16</v>
      </c>
      <c r="AO24" s="62">
        <v>31.99</v>
      </c>
      <c r="AP24" s="62">
        <v>35.21</v>
      </c>
      <c r="AQ24" s="62">
        <v>42.91</v>
      </c>
      <c r="AR24" s="62">
        <v>96.03</v>
      </c>
      <c r="AS24" s="62">
        <v>97.16</v>
      </c>
      <c r="AT24" s="62">
        <v>0</v>
      </c>
      <c r="AU24" s="62">
        <v>0</v>
      </c>
      <c r="AV24" s="62">
        <v>0</v>
      </c>
      <c r="AW24" s="62">
        <v>0</v>
      </c>
      <c r="AX24" s="62">
        <v>0</v>
      </c>
      <c r="AY24" s="62"/>
      <c r="AZ24" s="67" t="s">
        <v>89</v>
      </c>
      <c r="BA24" s="68">
        <v>4</v>
      </c>
      <c r="BB24" s="30">
        <v>5</v>
      </c>
      <c r="BD24" s="69"/>
    </row>
    <row r="25" spans="2:56" s="66" customFormat="1" ht="15" customHeight="1">
      <c r="B25" s="104"/>
      <c r="C25" s="105"/>
      <c r="D25" s="75"/>
      <c r="E25" s="76"/>
      <c r="F25" s="87">
        <v>16</v>
      </c>
      <c r="G25" s="88">
        <v>31.99</v>
      </c>
      <c r="H25" s="88">
        <v>35.21</v>
      </c>
      <c r="I25" s="88">
        <v>42.91</v>
      </c>
      <c r="J25" s="88">
        <v>96.03</v>
      </c>
      <c r="K25" s="88">
        <v>97.16</v>
      </c>
      <c r="L25" s="88" t="s">
        <v>210</v>
      </c>
      <c r="M25" s="106"/>
      <c r="N25" s="89" t="s">
        <v>87</v>
      </c>
      <c r="O25" s="90" t="s">
        <v>90</v>
      </c>
      <c r="P25" s="91">
        <v>1</v>
      </c>
      <c r="Q25" s="83"/>
      <c r="S25" s="84"/>
      <c r="T25" s="84"/>
      <c r="U25" s="84"/>
      <c r="V25" s="84"/>
      <c r="AK25" s="66" t="s">
        <v>229</v>
      </c>
      <c r="AL25" s="66">
        <v>18</v>
      </c>
      <c r="AN25" s="62">
        <v>17</v>
      </c>
      <c r="AO25" s="62">
        <v>32.58</v>
      </c>
      <c r="AP25" s="62">
        <v>36.159999999999997</v>
      </c>
      <c r="AQ25" s="62">
        <v>44.89</v>
      </c>
      <c r="AR25" s="62">
        <v>100.65</v>
      </c>
      <c r="AS25" s="62">
        <v>101.73</v>
      </c>
      <c r="AT25" s="62">
        <v>0</v>
      </c>
      <c r="AU25" s="62">
        <v>0</v>
      </c>
      <c r="AV25" s="62">
        <v>0</v>
      </c>
      <c r="AW25" s="62">
        <v>0</v>
      </c>
      <c r="AX25" s="62">
        <v>0</v>
      </c>
      <c r="AY25" s="62"/>
      <c r="AZ25" s="67" t="s">
        <v>91</v>
      </c>
      <c r="BA25" s="68">
        <v>5</v>
      </c>
      <c r="BB25" s="30">
        <v>6</v>
      </c>
      <c r="BD25" s="69"/>
    </row>
    <row r="26" spans="2:56" s="66" customFormat="1" ht="15" customHeight="1">
      <c r="B26" s="105"/>
      <c r="C26" s="105"/>
      <c r="D26" s="75"/>
      <c r="E26" s="76"/>
      <c r="F26" s="87">
        <v>17</v>
      </c>
      <c r="G26" s="88">
        <v>32.58</v>
      </c>
      <c r="H26" s="88">
        <v>36.159999999999997</v>
      </c>
      <c r="I26" s="88">
        <v>44.89</v>
      </c>
      <c r="J26" s="88">
        <v>100.65</v>
      </c>
      <c r="K26" s="88">
        <v>101.73</v>
      </c>
      <c r="L26" s="88" t="s">
        <v>210</v>
      </c>
      <c r="M26" s="79"/>
      <c r="N26" s="89" t="s">
        <v>89</v>
      </c>
      <c r="O26" s="90" t="s">
        <v>92</v>
      </c>
      <c r="P26" s="91">
        <v>4</v>
      </c>
      <c r="Q26" s="83"/>
      <c r="S26" s="84"/>
      <c r="T26" s="84"/>
      <c r="U26" s="84"/>
      <c r="V26" s="84"/>
      <c r="AK26" s="66" t="s">
        <v>230</v>
      </c>
      <c r="AL26" s="66">
        <v>19</v>
      </c>
      <c r="AN26" s="62">
        <v>18</v>
      </c>
      <c r="AO26" s="62">
        <v>33.130000000000003</v>
      </c>
      <c r="AP26" s="62">
        <v>37.119999999999997</v>
      </c>
      <c r="AQ26" s="62">
        <v>46.87</v>
      </c>
      <c r="AR26" s="62">
        <v>105.27</v>
      </c>
      <c r="AS26" s="62">
        <v>106.33</v>
      </c>
      <c r="AT26" s="62">
        <v>0</v>
      </c>
      <c r="AU26" s="62">
        <v>0</v>
      </c>
      <c r="AV26" s="62">
        <v>0</v>
      </c>
      <c r="AW26" s="62">
        <v>0</v>
      </c>
      <c r="AX26" s="62">
        <v>0</v>
      </c>
      <c r="AY26" s="62"/>
      <c r="AZ26" s="67" t="s">
        <v>93</v>
      </c>
      <c r="BA26" s="68">
        <v>4</v>
      </c>
      <c r="BB26" s="30">
        <v>5</v>
      </c>
      <c r="BD26" s="69"/>
    </row>
    <row r="27" spans="2:56" s="66" customFormat="1" ht="15" customHeight="1">
      <c r="B27" s="105"/>
      <c r="C27" s="105"/>
      <c r="D27" s="75"/>
      <c r="E27" s="76"/>
      <c r="F27" s="87">
        <v>18</v>
      </c>
      <c r="G27" s="88">
        <v>33.130000000000003</v>
      </c>
      <c r="H27" s="88">
        <v>37.119999999999997</v>
      </c>
      <c r="I27" s="88">
        <v>46.87</v>
      </c>
      <c r="J27" s="88">
        <v>105.27</v>
      </c>
      <c r="K27" s="88">
        <v>106.33</v>
      </c>
      <c r="L27" s="88" t="s">
        <v>210</v>
      </c>
      <c r="M27" s="79"/>
      <c r="N27" s="89" t="s">
        <v>91</v>
      </c>
      <c r="O27" s="90" t="s">
        <v>94</v>
      </c>
      <c r="P27" s="91">
        <v>5</v>
      </c>
      <c r="Q27" s="83"/>
      <c r="S27" s="84"/>
      <c r="T27" s="84"/>
      <c r="U27" s="84"/>
      <c r="V27" s="84"/>
      <c r="AK27" s="66" t="s">
        <v>231</v>
      </c>
      <c r="AL27" s="66">
        <v>20</v>
      </c>
      <c r="AN27" s="62">
        <v>19</v>
      </c>
      <c r="AO27" s="62">
        <v>33.69</v>
      </c>
      <c r="AP27" s="62">
        <v>38.07</v>
      </c>
      <c r="AQ27" s="62">
        <v>48.83</v>
      </c>
      <c r="AR27" s="62">
        <v>109.87</v>
      </c>
      <c r="AS27" s="62">
        <v>110.91</v>
      </c>
      <c r="AT27" s="62">
        <v>0</v>
      </c>
      <c r="AU27" s="62">
        <v>0</v>
      </c>
      <c r="AV27" s="62">
        <v>0</v>
      </c>
      <c r="AW27" s="62">
        <v>0</v>
      </c>
      <c r="AX27" s="62">
        <v>0</v>
      </c>
      <c r="AY27" s="62"/>
      <c r="AZ27" s="67" t="s">
        <v>95</v>
      </c>
      <c r="BA27" s="68">
        <v>2</v>
      </c>
      <c r="BB27" s="30">
        <v>3</v>
      </c>
      <c r="BD27" s="69"/>
    </row>
    <row r="28" spans="2:56" s="66" customFormat="1" ht="15" customHeight="1">
      <c r="B28" s="107"/>
      <c r="C28" s="107"/>
      <c r="D28" s="75"/>
      <c r="E28" s="76"/>
      <c r="F28" s="87">
        <v>19</v>
      </c>
      <c r="G28" s="88">
        <v>33.69</v>
      </c>
      <c r="H28" s="88">
        <v>38.07</v>
      </c>
      <c r="I28" s="88">
        <v>48.83</v>
      </c>
      <c r="J28" s="88">
        <v>109.87</v>
      </c>
      <c r="K28" s="88">
        <v>110.91</v>
      </c>
      <c r="L28" s="88" t="s">
        <v>210</v>
      </c>
      <c r="M28" s="99"/>
      <c r="N28" s="89" t="s">
        <v>93</v>
      </c>
      <c r="O28" s="90" t="s">
        <v>96</v>
      </c>
      <c r="P28" s="91">
        <v>4</v>
      </c>
      <c r="Q28" s="83"/>
      <c r="S28" s="84"/>
      <c r="T28" s="84"/>
      <c r="U28" s="84"/>
      <c r="V28" s="84"/>
      <c r="AK28" s="66" t="s">
        <v>232</v>
      </c>
      <c r="AL28" s="66">
        <v>21</v>
      </c>
      <c r="AN28" s="62">
        <v>20</v>
      </c>
      <c r="AO28" s="62">
        <v>34.25</v>
      </c>
      <c r="AP28" s="62">
        <v>39.020000000000003</v>
      </c>
      <c r="AQ28" s="62">
        <v>50.83</v>
      </c>
      <c r="AR28" s="62">
        <v>114.48</v>
      </c>
      <c r="AS28" s="62">
        <v>115.46</v>
      </c>
      <c r="AT28" s="62">
        <v>0</v>
      </c>
      <c r="AU28" s="62">
        <v>0</v>
      </c>
      <c r="AV28" s="62">
        <v>0</v>
      </c>
      <c r="AW28" s="62">
        <v>0</v>
      </c>
      <c r="AX28" s="62">
        <v>0</v>
      </c>
      <c r="AY28" s="62"/>
      <c r="AZ28" s="67" t="s">
        <v>97</v>
      </c>
      <c r="BA28" s="68">
        <v>1</v>
      </c>
      <c r="BB28" s="30">
        <v>2</v>
      </c>
      <c r="BD28" s="69"/>
    </row>
    <row r="29" spans="2:56" s="66" customFormat="1" ht="15" customHeight="1">
      <c r="D29" s="75"/>
      <c r="E29" s="76"/>
      <c r="F29" s="87">
        <v>20</v>
      </c>
      <c r="G29" s="88">
        <v>34.25</v>
      </c>
      <c r="H29" s="88">
        <v>39.020000000000003</v>
      </c>
      <c r="I29" s="88">
        <v>50.83</v>
      </c>
      <c r="J29" s="88">
        <v>114.48</v>
      </c>
      <c r="K29" s="88">
        <v>115.46</v>
      </c>
      <c r="L29" s="88" t="s">
        <v>210</v>
      </c>
      <c r="M29" s="106"/>
      <c r="N29" s="89" t="s">
        <v>95</v>
      </c>
      <c r="O29" s="90" t="s">
        <v>98</v>
      </c>
      <c r="P29" s="91">
        <v>2</v>
      </c>
      <c r="Q29" s="83"/>
      <c r="S29" s="84"/>
      <c r="T29" s="84"/>
      <c r="U29" s="84"/>
      <c r="V29" s="84"/>
      <c r="AK29" s="66" t="s">
        <v>233</v>
      </c>
      <c r="AL29" s="66">
        <v>22</v>
      </c>
      <c r="AN29" s="62">
        <v>21</v>
      </c>
      <c r="AO29" s="62">
        <v>45.81</v>
      </c>
      <c r="AP29" s="62">
        <v>52.62</v>
      </c>
      <c r="AQ29" s="62">
        <v>68.92</v>
      </c>
      <c r="AR29" s="62">
        <v>116.12</v>
      </c>
      <c r="AS29" s="62">
        <v>117.07</v>
      </c>
      <c r="AT29" s="62">
        <v>0</v>
      </c>
      <c r="AU29" s="62">
        <v>0</v>
      </c>
      <c r="AV29" s="62">
        <v>0</v>
      </c>
      <c r="AW29" s="62">
        <v>0</v>
      </c>
      <c r="AX29" s="62">
        <v>0</v>
      </c>
      <c r="AY29" s="62"/>
      <c r="AZ29" s="67" t="s">
        <v>99</v>
      </c>
      <c r="BA29" s="68">
        <v>5</v>
      </c>
      <c r="BB29" s="30">
        <v>6</v>
      </c>
      <c r="BD29" s="69"/>
    </row>
    <row r="30" spans="2:56" s="66" customFormat="1" ht="15" customHeight="1">
      <c r="D30" s="75"/>
      <c r="E30" s="76"/>
      <c r="F30" s="87">
        <v>25</v>
      </c>
      <c r="G30" s="88">
        <v>46.4</v>
      </c>
      <c r="H30" s="88">
        <v>54.93</v>
      </c>
      <c r="I30" s="88">
        <v>73.569999999999993</v>
      </c>
      <c r="J30" s="88">
        <v>122.65</v>
      </c>
      <c r="K30" s="88">
        <v>123.38</v>
      </c>
      <c r="L30" s="88" t="s">
        <v>210</v>
      </c>
      <c r="M30" s="79"/>
      <c r="N30" s="89" t="s">
        <v>97</v>
      </c>
      <c r="O30" s="90" t="s">
        <v>100</v>
      </c>
      <c r="P30" s="91">
        <v>1</v>
      </c>
      <c r="Q30" s="83"/>
      <c r="S30" s="84"/>
      <c r="T30" s="84"/>
      <c r="U30" s="84"/>
      <c r="V30" s="84"/>
      <c r="AK30" s="66" t="s">
        <v>234</v>
      </c>
      <c r="AL30" s="66">
        <v>23</v>
      </c>
      <c r="AN30" s="62">
        <v>22</v>
      </c>
      <c r="AO30" s="62">
        <v>45.97</v>
      </c>
      <c r="AP30" s="62">
        <v>53.21</v>
      </c>
      <c r="AQ30" s="62">
        <v>70.08</v>
      </c>
      <c r="AR30" s="62">
        <v>117.76</v>
      </c>
      <c r="AS30" s="62">
        <v>118.64</v>
      </c>
      <c r="AT30" s="62">
        <v>0</v>
      </c>
      <c r="AU30" s="62">
        <v>0</v>
      </c>
      <c r="AV30" s="62">
        <v>0</v>
      </c>
      <c r="AW30" s="62">
        <v>0</v>
      </c>
      <c r="AX30" s="62">
        <v>0</v>
      </c>
      <c r="AY30" s="62"/>
      <c r="AZ30" s="67" t="s">
        <v>101</v>
      </c>
      <c r="BA30" s="68">
        <v>4</v>
      </c>
      <c r="BB30" s="30">
        <v>5</v>
      </c>
      <c r="BD30" s="69"/>
    </row>
    <row r="31" spans="2:56" s="66" customFormat="1" ht="15" customHeight="1">
      <c r="D31" s="75"/>
      <c r="E31" s="76"/>
      <c r="F31" s="87">
        <v>30</v>
      </c>
      <c r="G31" s="88">
        <v>47.11</v>
      </c>
      <c r="H31" s="88">
        <v>57.79</v>
      </c>
      <c r="I31" s="88">
        <v>79.39</v>
      </c>
      <c r="J31" s="88">
        <v>130.83000000000001</v>
      </c>
      <c r="K31" s="88">
        <v>131.28</v>
      </c>
      <c r="L31" s="88" t="s">
        <v>210</v>
      </c>
      <c r="M31" s="79"/>
      <c r="N31" s="89" t="s">
        <v>99</v>
      </c>
      <c r="O31" s="90" t="s">
        <v>102</v>
      </c>
      <c r="P31" s="91">
        <v>5</v>
      </c>
      <c r="Q31" s="83"/>
      <c r="S31" s="84"/>
      <c r="T31" s="84"/>
      <c r="U31" s="84"/>
      <c r="V31" s="84"/>
      <c r="AK31" s="66" t="s">
        <v>235</v>
      </c>
      <c r="AL31" s="66">
        <v>24</v>
      </c>
      <c r="AN31" s="62">
        <v>23</v>
      </c>
      <c r="AO31" s="62">
        <v>46.11</v>
      </c>
      <c r="AP31" s="62">
        <v>53.77</v>
      </c>
      <c r="AQ31" s="62">
        <v>71.239999999999995</v>
      </c>
      <c r="AR31" s="62">
        <v>119.39</v>
      </c>
      <c r="AS31" s="62">
        <v>120.24</v>
      </c>
      <c r="AT31" s="62">
        <v>0</v>
      </c>
      <c r="AU31" s="62">
        <v>0</v>
      </c>
      <c r="AV31" s="62">
        <v>0</v>
      </c>
      <c r="AW31" s="62">
        <v>0</v>
      </c>
      <c r="AX31" s="62">
        <v>0</v>
      </c>
      <c r="AY31" s="62"/>
      <c r="AZ31" s="67" t="s">
        <v>103</v>
      </c>
      <c r="BA31" s="68">
        <v>2</v>
      </c>
      <c r="BB31" s="30">
        <v>3</v>
      </c>
      <c r="BD31" s="69"/>
    </row>
    <row r="32" spans="2:56" s="66" customFormat="1" ht="15" customHeight="1">
      <c r="D32" s="75"/>
      <c r="E32" s="76"/>
      <c r="F32" s="87">
        <v>35</v>
      </c>
      <c r="G32" s="88">
        <v>64.75</v>
      </c>
      <c r="H32" s="88">
        <v>80.59</v>
      </c>
      <c r="I32" s="88">
        <v>110.35</v>
      </c>
      <c r="J32" s="88">
        <v>158.21</v>
      </c>
      <c r="K32" s="88">
        <v>159.37</v>
      </c>
      <c r="L32" s="88" t="s">
        <v>210</v>
      </c>
      <c r="M32" s="79"/>
      <c r="N32" s="89" t="s">
        <v>101</v>
      </c>
      <c r="O32" s="90" t="s">
        <v>104</v>
      </c>
      <c r="P32" s="91">
        <v>4</v>
      </c>
      <c r="Q32" s="83"/>
      <c r="S32" s="84"/>
      <c r="T32" s="84"/>
      <c r="U32" s="84"/>
      <c r="V32" s="84"/>
      <c r="AK32" s="66" t="s">
        <v>236</v>
      </c>
      <c r="AL32" s="66">
        <v>25</v>
      </c>
      <c r="AN32" s="62">
        <v>24</v>
      </c>
      <c r="AO32" s="62">
        <v>46.25</v>
      </c>
      <c r="AP32" s="62">
        <v>54.35</v>
      </c>
      <c r="AQ32" s="62">
        <v>72.41</v>
      </c>
      <c r="AR32" s="62">
        <v>121.02</v>
      </c>
      <c r="AS32" s="62">
        <v>121.81</v>
      </c>
      <c r="AT32" s="62">
        <v>0</v>
      </c>
      <c r="AU32" s="62">
        <v>0</v>
      </c>
      <c r="AV32" s="62">
        <v>0</v>
      </c>
      <c r="AW32" s="62">
        <v>0</v>
      </c>
      <c r="AX32" s="62">
        <v>0</v>
      </c>
      <c r="AY32" s="62"/>
      <c r="AZ32" s="67" t="s">
        <v>105</v>
      </c>
      <c r="BA32" s="68">
        <v>4</v>
      </c>
      <c r="BB32" s="30">
        <v>5</v>
      </c>
      <c r="BD32" s="69"/>
    </row>
    <row r="33" spans="4:56" s="66" customFormat="1" ht="15" customHeight="1">
      <c r="D33" s="75"/>
      <c r="E33" s="76"/>
      <c r="F33" s="87">
        <v>40</v>
      </c>
      <c r="G33" s="88">
        <v>65.27</v>
      </c>
      <c r="H33" s="88">
        <v>82.4</v>
      </c>
      <c r="I33" s="88">
        <v>112.48</v>
      </c>
      <c r="J33" s="88">
        <v>162.30000000000001</v>
      </c>
      <c r="K33" s="88">
        <v>164.11</v>
      </c>
      <c r="L33" s="88" t="s">
        <v>210</v>
      </c>
      <c r="M33" s="79"/>
      <c r="N33" s="89" t="s">
        <v>103</v>
      </c>
      <c r="O33" s="90" t="s">
        <v>106</v>
      </c>
      <c r="P33" s="91">
        <v>2</v>
      </c>
      <c r="Q33" s="83"/>
      <c r="S33" s="84"/>
      <c r="T33" s="84"/>
      <c r="U33" s="84"/>
      <c r="V33" s="84"/>
      <c r="AK33" s="66" t="s">
        <v>237</v>
      </c>
      <c r="AL33" s="66">
        <v>26</v>
      </c>
      <c r="AN33" s="62">
        <v>25</v>
      </c>
      <c r="AO33" s="62">
        <v>46.4</v>
      </c>
      <c r="AP33" s="62">
        <v>54.93</v>
      </c>
      <c r="AQ33" s="62">
        <v>73.569999999999993</v>
      </c>
      <c r="AR33" s="62">
        <v>122.65</v>
      </c>
      <c r="AS33" s="62">
        <v>123.38</v>
      </c>
      <c r="AT33" s="62">
        <v>0</v>
      </c>
      <c r="AU33" s="62">
        <v>0</v>
      </c>
      <c r="AV33" s="62">
        <v>0</v>
      </c>
      <c r="AW33" s="62">
        <v>0</v>
      </c>
      <c r="AX33" s="62">
        <v>0</v>
      </c>
      <c r="AY33" s="62"/>
      <c r="AZ33" s="67" t="s">
        <v>107</v>
      </c>
      <c r="BA33" s="68">
        <v>4</v>
      </c>
      <c r="BB33" s="30">
        <v>5</v>
      </c>
      <c r="BD33" s="69"/>
    </row>
    <row r="34" spans="4:56" s="66" customFormat="1" ht="15" customHeight="1">
      <c r="D34" s="75"/>
      <c r="E34" s="76"/>
      <c r="F34" s="87">
        <v>45</v>
      </c>
      <c r="G34" s="88">
        <v>65.78</v>
      </c>
      <c r="H34" s="88">
        <v>84.17</v>
      </c>
      <c r="I34" s="88">
        <v>114.63</v>
      </c>
      <c r="J34" s="88">
        <v>166.34</v>
      </c>
      <c r="K34" s="88">
        <v>168.82</v>
      </c>
      <c r="L34" s="88" t="s">
        <v>210</v>
      </c>
      <c r="M34" s="79"/>
      <c r="N34" s="89" t="s">
        <v>105</v>
      </c>
      <c r="O34" s="90" t="s">
        <v>108</v>
      </c>
      <c r="P34" s="91">
        <v>4</v>
      </c>
      <c r="Q34" s="83"/>
      <c r="S34" s="84"/>
      <c r="T34" s="84"/>
      <c r="U34" s="84"/>
      <c r="V34" s="84"/>
      <c r="AK34" s="66" t="s">
        <v>238</v>
      </c>
      <c r="AL34" s="66">
        <v>27</v>
      </c>
      <c r="AN34" s="62">
        <v>26</v>
      </c>
      <c r="AO34" s="62">
        <v>46.55</v>
      </c>
      <c r="AP34" s="62">
        <v>55.5</v>
      </c>
      <c r="AQ34" s="62">
        <v>74.739999999999995</v>
      </c>
      <c r="AR34" s="62">
        <v>124.31</v>
      </c>
      <c r="AS34" s="62">
        <v>124.97</v>
      </c>
      <c r="AT34" s="62">
        <v>0</v>
      </c>
      <c r="AU34" s="62">
        <v>0</v>
      </c>
      <c r="AV34" s="62">
        <v>0</v>
      </c>
      <c r="AW34" s="62">
        <v>0</v>
      </c>
      <c r="AX34" s="62">
        <v>0</v>
      </c>
      <c r="AY34" s="62"/>
      <c r="AZ34" s="67" t="s">
        <v>109</v>
      </c>
      <c r="BA34" s="68">
        <v>3</v>
      </c>
      <c r="BB34" s="30">
        <v>4</v>
      </c>
      <c r="BD34" s="69"/>
    </row>
    <row r="35" spans="4:56" s="66" customFormat="1" ht="15" customHeight="1">
      <c r="D35" s="75"/>
      <c r="E35" s="76"/>
      <c r="F35" s="87">
        <v>50</v>
      </c>
      <c r="G35" s="88">
        <v>66.31</v>
      </c>
      <c r="H35" s="88">
        <v>85.99</v>
      </c>
      <c r="I35" s="88">
        <v>116.76</v>
      </c>
      <c r="J35" s="88">
        <v>170.43</v>
      </c>
      <c r="K35" s="88">
        <v>173.53</v>
      </c>
      <c r="L35" s="88" t="s">
        <v>210</v>
      </c>
      <c r="M35" s="79"/>
      <c r="N35" s="89" t="s">
        <v>107</v>
      </c>
      <c r="O35" s="90" t="s">
        <v>110</v>
      </c>
      <c r="P35" s="91">
        <v>4</v>
      </c>
      <c r="Q35" s="83"/>
      <c r="S35" s="84"/>
      <c r="T35" s="84"/>
      <c r="U35" s="84"/>
      <c r="V35" s="84"/>
      <c r="AK35" s="66" t="s">
        <v>239</v>
      </c>
      <c r="AL35" s="66">
        <v>28</v>
      </c>
      <c r="AN35" s="62">
        <v>27</v>
      </c>
      <c r="AO35" s="62">
        <v>46.68</v>
      </c>
      <c r="AP35" s="62">
        <v>56.08</v>
      </c>
      <c r="AQ35" s="62">
        <v>75.88</v>
      </c>
      <c r="AR35" s="62">
        <v>125.93</v>
      </c>
      <c r="AS35" s="62">
        <v>126.55</v>
      </c>
      <c r="AT35" s="62">
        <v>0</v>
      </c>
      <c r="AU35" s="62">
        <v>0</v>
      </c>
      <c r="AV35" s="62">
        <v>0</v>
      </c>
      <c r="AW35" s="62">
        <v>0</v>
      </c>
      <c r="AX35" s="62">
        <v>0</v>
      </c>
      <c r="AY35" s="62"/>
      <c r="AZ35" s="67" t="s">
        <v>111</v>
      </c>
      <c r="BA35" s="68">
        <v>5</v>
      </c>
      <c r="BB35" s="30">
        <v>6</v>
      </c>
      <c r="BD35" s="69"/>
    </row>
    <row r="36" spans="4:56" s="66" customFormat="1" ht="15" customHeight="1">
      <c r="D36" s="75"/>
      <c r="E36" s="76"/>
      <c r="F36" s="87">
        <v>55</v>
      </c>
      <c r="G36" s="88">
        <v>66.83</v>
      </c>
      <c r="H36" s="88">
        <v>87.78</v>
      </c>
      <c r="I36" s="88">
        <v>118.91</v>
      </c>
      <c r="J36" s="88">
        <v>174.5</v>
      </c>
      <c r="K36" s="88">
        <v>178.25</v>
      </c>
      <c r="L36" s="88" t="s">
        <v>210</v>
      </c>
      <c r="N36" s="89" t="s">
        <v>112</v>
      </c>
      <c r="O36" s="90" t="s">
        <v>113</v>
      </c>
      <c r="P36" s="91">
        <v>5</v>
      </c>
      <c r="Q36" s="83"/>
      <c r="S36" s="84"/>
      <c r="T36" s="84"/>
      <c r="U36" s="84"/>
      <c r="V36" s="84"/>
      <c r="AK36" s="66" t="s">
        <v>240</v>
      </c>
      <c r="AL36" s="66">
        <v>29</v>
      </c>
      <c r="AN36" s="62">
        <v>28</v>
      </c>
      <c r="AO36" s="62">
        <v>46.84</v>
      </c>
      <c r="AP36" s="62">
        <v>56.66</v>
      </c>
      <c r="AQ36" s="62">
        <v>77.040000000000006</v>
      </c>
      <c r="AR36" s="62">
        <v>127.58</v>
      </c>
      <c r="AS36" s="62">
        <v>128.11000000000001</v>
      </c>
      <c r="AT36" s="62">
        <v>0</v>
      </c>
      <c r="AU36" s="62">
        <v>0</v>
      </c>
      <c r="AV36" s="62">
        <v>0</v>
      </c>
      <c r="AW36" s="62">
        <v>0</v>
      </c>
      <c r="AX36" s="62">
        <v>0</v>
      </c>
      <c r="AY36" s="62"/>
      <c r="AZ36" s="67" t="s">
        <v>43</v>
      </c>
      <c r="BA36" s="68">
        <v>1</v>
      </c>
      <c r="BB36" s="30">
        <v>2</v>
      </c>
      <c r="BD36" s="69"/>
    </row>
    <row r="37" spans="4:56" s="66" customFormat="1" ht="15" customHeight="1">
      <c r="D37" s="75"/>
      <c r="E37" s="76"/>
      <c r="F37" s="87">
        <v>60</v>
      </c>
      <c r="G37" s="88">
        <v>67.36</v>
      </c>
      <c r="H37" s="88">
        <v>89.57</v>
      </c>
      <c r="I37" s="88">
        <v>121.05</v>
      </c>
      <c r="J37" s="88">
        <v>178.56</v>
      </c>
      <c r="K37" s="88">
        <v>182.97</v>
      </c>
      <c r="L37" s="88" t="s">
        <v>210</v>
      </c>
      <c r="N37" s="89" t="s">
        <v>109</v>
      </c>
      <c r="O37" s="90" t="s">
        <v>114</v>
      </c>
      <c r="P37" s="91">
        <v>3</v>
      </c>
      <c r="Q37" s="83"/>
      <c r="S37" s="84"/>
      <c r="T37" s="84"/>
      <c r="U37" s="84"/>
      <c r="V37" s="84"/>
      <c r="AK37" s="66" t="s">
        <v>241</v>
      </c>
      <c r="AL37" s="66">
        <v>30</v>
      </c>
      <c r="AN37" s="62">
        <v>29</v>
      </c>
      <c r="AO37" s="62">
        <v>46.95</v>
      </c>
      <c r="AP37" s="62">
        <v>57.21</v>
      </c>
      <c r="AQ37" s="62">
        <v>78.209999999999994</v>
      </c>
      <c r="AR37" s="62">
        <v>129.21</v>
      </c>
      <c r="AS37" s="62">
        <v>129.71</v>
      </c>
      <c r="AT37" s="62">
        <v>0</v>
      </c>
      <c r="AU37" s="62">
        <v>0</v>
      </c>
      <c r="AV37" s="62">
        <v>0</v>
      </c>
      <c r="AW37" s="62">
        <v>0</v>
      </c>
      <c r="AX37" s="62">
        <v>0</v>
      </c>
      <c r="AY37" s="62"/>
      <c r="AZ37" s="67" t="s">
        <v>44</v>
      </c>
      <c r="BA37" s="68">
        <v>2</v>
      </c>
      <c r="BB37" s="30">
        <v>3</v>
      </c>
      <c r="BD37" s="69"/>
    </row>
    <row r="38" spans="4:56" s="66" customFormat="1" ht="15" customHeight="1" thickBot="1">
      <c r="D38" s="75"/>
      <c r="E38" s="76"/>
      <c r="F38" s="87">
        <v>65</v>
      </c>
      <c r="G38" s="88">
        <v>67.849999999999994</v>
      </c>
      <c r="H38" s="88">
        <v>91.39</v>
      </c>
      <c r="I38" s="88">
        <v>123.18</v>
      </c>
      <c r="J38" s="88">
        <v>182.65</v>
      </c>
      <c r="K38" s="88">
        <v>187.7</v>
      </c>
      <c r="L38" s="88" t="s">
        <v>210</v>
      </c>
      <c r="M38" s="79"/>
      <c r="N38" s="108" t="s">
        <v>111</v>
      </c>
      <c r="O38" s="109" t="s">
        <v>115</v>
      </c>
      <c r="P38" s="110">
        <v>5</v>
      </c>
      <c r="Q38" s="83"/>
      <c r="R38" s="111"/>
      <c r="S38" s="84"/>
      <c r="T38" s="84"/>
      <c r="U38" s="84"/>
      <c r="V38" s="84"/>
      <c r="AK38" s="66" t="s">
        <v>242</v>
      </c>
      <c r="AL38" s="66">
        <v>31</v>
      </c>
      <c r="AN38" s="62">
        <v>30</v>
      </c>
      <c r="AO38" s="62">
        <v>47.11</v>
      </c>
      <c r="AP38" s="62">
        <v>57.79</v>
      </c>
      <c r="AQ38" s="62">
        <v>79.39</v>
      </c>
      <c r="AR38" s="62">
        <v>130.83000000000001</v>
      </c>
      <c r="AS38" s="62">
        <v>131.28</v>
      </c>
      <c r="AT38" s="62">
        <v>0</v>
      </c>
      <c r="AU38" s="62">
        <v>0</v>
      </c>
      <c r="AV38" s="62">
        <v>0</v>
      </c>
      <c r="AW38" s="62">
        <v>0</v>
      </c>
      <c r="AX38" s="62">
        <v>0</v>
      </c>
      <c r="AY38" s="62"/>
      <c r="AZ38" s="67" t="s">
        <v>45</v>
      </c>
      <c r="BA38" s="68">
        <v>3</v>
      </c>
      <c r="BB38" s="30">
        <v>4</v>
      </c>
      <c r="BD38" s="69"/>
    </row>
    <row r="39" spans="4:56" s="66" customFormat="1" ht="15" customHeight="1">
      <c r="D39" s="75"/>
      <c r="E39" s="76"/>
      <c r="F39" s="87">
        <v>70</v>
      </c>
      <c r="G39" s="88">
        <v>68.38</v>
      </c>
      <c r="H39" s="88">
        <v>93.19</v>
      </c>
      <c r="I39" s="88">
        <v>125.31</v>
      </c>
      <c r="J39" s="88">
        <v>186.71</v>
      </c>
      <c r="K39" s="88">
        <v>192.42</v>
      </c>
      <c r="L39" s="88" t="s">
        <v>210</v>
      </c>
      <c r="M39" s="79"/>
      <c r="N39" s="66" t="s">
        <v>116</v>
      </c>
      <c r="Q39" s="112"/>
      <c r="R39" s="111"/>
      <c r="S39" s="84"/>
      <c r="T39" s="84"/>
      <c r="U39" s="84"/>
      <c r="V39" s="84"/>
      <c r="AK39" s="66" t="s">
        <v>243</v>
      </c>
      <c r="AL39" s="66">
        <v>32</v>
      </c>
      <c r="AN39" s="62">
        <v>31</v>
      </c>
      <c r="AO39" s="62">
        <v>64.319999999999993</v>
      </c>
      <c r="AP39" s="62">
        <v>79.14</v>
      </c>
      <c r="AQ39" s="62">
        <v>108.62</v>
      </c>
      <c r="AR39" s="62">
        <v>154.94999999999999</v>
      </c>
      <c r="AS39" s="62">
        <v>155.59</v>
      </c>
      <c r="AT39" s="62">
        <v>0</v>
      </c>
      <c r="AU39" s="62">
        <v>0</v>
      </c>
      <c r="AV39" s="62">
        <v>0</v>
      </c>
      <c r="AW39" s="62">
        <v>0</v>
      </c>
      <c r="AX39" s="62">
        <v>0</v>
      </c>
      <c r="AY39" s="62"/>
      <c r="AZ39" s="67" t="s">
        <v>46</v>
      </c>
      <c r="BA39" s="68">
        <v>4</v>
      </c>
      <c r="BB39" s="30">
        <v>5</v>
      </c>
      <c r="BD39" s="69"/>
    </row>
    <row r="40" spans="4:56" s="66" customFormat="1" ht="15" customHeight="1">
      <c r="D40" s="75"/>
      <c r="E40" s="76"/>
      <c r="F40" s="87">
        <v>80</v>
      </c>
      <c r="G40" s="88">
        <v>82.95</v>
      </c>
      <c r="H40" s="88">
        <v>114.36</v>
      </c>
      <c r="I40" s="88">
        <v>152.43</v>
      </c>
      <c r="J40" s="88">
        <v>204.8</v>
      </c>
      <c r="K40" s="88">
        <v>211.72</v>
      </c>
      <c r="L40" s="88" t="s">
        <v>210</v>
      </c>
      <c r="M40" s="79"/>
      <c r="N40" s="79"/>
      <c r="S40" s="84"/>
      <c r="T40" s="84"/>
      <c r="U40" s="84"/>
      <c r="V40" s="84"/>
      <c r="AK40" s="66" t="s">
        <v>244</v>
      </c>
      <c r="AL40" s="66">
        <v>33</v>
      </c>
      <c r="AN40" s="62">
        <v>32</v>
      </c>
      <c r="AO40" s="62">
        <v>64.42</v>
      </c>
      <c r="AP40" s="62">
        <v>79.510000000000005</v>
      </c>
      <c r="AQ40" s="62">
        <v>109.05</v>
      </c>
      <c r="AR40" s="62">
        <v>155.77000000000001</v>
      </c>
      <c r="AS40" s="62">
        <v>156.53</v>
      </c>
      <c r="AT40" s="62">
        <v>0</v>
      </c>
      <c r="AU40" s="62">
        <v>0</v>
      </c>
      <c r="AV40" s="62">
        <v>0</v>
      </c>
      <c r="AW40" s="62">
        <v>0</v>
      </c>
      <c r="AX40" s="62">
        <v>0</v>
      </c>
      <c r="AY40" s="62"/>
      <c r="AZ40" s="67" t="s">
        <v>47</v>
      </c>
      <c r="BA40" s="68">
        <v>5</v>
      </c>
      <c r="BB40" s="30">
        <v>6</v>
      </c>
      <c r="BD40" s="69"/>
    </row>
    <row r="41" spans="4:56" s="66" customFormat="1" ht="15" customHeight="1">
      <c r="D41" s="75"/>
      <c r="E41" s="76"/>
      <c r="F41" s="87">
        <v>90</v>
      </c>
      <c r="G41" s="88">
        <v>89.88</v>
      </c>
      <c r="H41" s="88">
        <v>125.19</v>
      </c>
      <c r="I41" s="88">
        <v>165.58</v>
      </c>
      <c r="J41" s="88">
        <v>222.89</v>
      </c>
      <c r="K41" s="88">
        <v>231.05</v>
      </c>
      <c r="L41" s="88" t="s">
        <v>210</v>
      </c>
      <c r="M41" s="79"/>
      <c r="N41" s="79"/>
      <c r="P41" s="84"/>
      <c r="Q41" s="84"/>
      <c r="R41" s="84"/>
      <c r="S41" s="84"/>
      <c r="T41" s="84"/>
      <c r="U41" s="84"/>
      <c r="V41" s="84"/>
      <c r="AK41" s="66" t="s">
        <v>245</v>
      </c>
      <c r="AL41" s="66">
        <v>34</v>
      </c>
      <c r="AN41" s="62">
        <v>33</v>
      </c>
      <c r="AO41" s="62">
        <v>64.53</v>
      </c>
      <c r="AP41" s="62">
        <v>79.849999999999994</v>
      </c>
      <c r="AQ41" s="62">
        <v>109.47</v>
      </c>
      <c r="AR41" s="62">
        <v>156.61000000000001</v>
      </c>
      <c r="AS41" s="62">
        <v>157.47999999999999</v>
      </c>
      <c r="AT41" s="62">
        <v>0</v>
      </c>
      <c r="AU41" s="62">
        <v>0</v>
      </c>
      <c r="AV41" s="62">
        <v>0</v>
      </c>
      <c r="AW41" s="62">
        <v>0</v>
      </c>
      <c r="AX41" s="62">
        <v>0</v>
      </c>
      <c r="AY41" s="62"/>
    </row>
    <row r="42" spans="4:56" s="66" customFormat="1" ht="15" customHeight="1">
      <c r="D42" s="75"/>
      <c r="E42" s="76"/>
      <c r="F42" s="87">
        <v>100</v>
      </c>
      <c r="G42" s="88">
        <v>96.82</v>
      </c>
      <c r="H42" s="88">
        <v>136.02000000000001</v>
      </c>
      <c r="I42" s="88">
        <v>178.77</v>
      </c>
      <c r="J42" s="88">
        <v>240.97</v>
      </c>
      <c r="K42" s="88">
        <v>250.39</v>
      </c>
      <c r="L42" s="88" t="s">
        <v>210</v>
      </c>
      <c r="M42" s="79"/>
      <c r="N42" s="79"/>
      <c r="P42" s="84"/>
      <c r="Q42" s="84"/>
      <c r="R42" s="84"/>
      <c r="S42" s="84"/>
      <c r="T42" s="84"/>
      <c r="U42" s="84"/>
      <c r="V42" s="84"/>
      <c r="AK42" s="66" t="s">
        <v>246</v>
      </c>
      <c r="AL42" s="66">
        <v>35</v>
      </c>
      <c r="AN42" s="62">
        <v>34</v>
      </c>
      <c r="AO42" s="62">
        <v>64.64</v>
      </c>
      <c r="AP42" s="62">
        <v>80.22</v>
      </c>
      <c r="AQ42" s="62">
        <v>109.91</v>
      </c>
      <c r="AR42" s="62">
        <v>157.41</v>
      </c>
      <c r="AS42" s="62">
        <v>158.43</v>
      </c>
      <c r="AT42" s="62">
        <v>0</v>
      </c>
      <c r="AU42" s="62">
        <v>0</v>
      </c>
      <c r="AV42" s="62">
        <v>0</v>
      </c>
      <c r="AW42" s="62">
        <v>0</v>
      </c>
      <c r="AX42" s="62">
        <v>0</v>
      </c>
      <c r="AY42" s="62"/>
    </row>
    <row r="43" spans="4:56" s="66" customFormat="1" ht="15" customHeight="1">
      <c r="D43" s="75"/>
      <c r="E43" s="76"/>
      <c r="F43" s="87">
        <v>200</v>
      </c>
      <c r="G43" s="88">
        <v>197.79</v>
      </c>
      <c r="H43" s="88">
        <v>290.5</v>
      </c>
      <c r="I43" s="88">
        <v>369.25</v>
      </c>
      <c r="J43" s="88">
        <v>429.96</v>
      </c>
      <c r="K43" s="88">
        <v>452.12</v>
      </c>
      <c r="L43" s="88" t="s">
        <v>210</v>
      </c>
      <c r="M43" s="79"/>
      <c r="N43" s="79"/>
      <c r="P43" s="84"/>
      <c r="Q43" s="84"/>
      <c r="R43" s="84"/>
      <c r="S43" s="84"/>
      <c r="T43" s="84"/>
      <c r="U43" s="84"/>
      <c r="V43" s="84"/>
      <c r="AK43" s="66" t="s">
        <v>247</v>
      </c>
      <c r="AL43" s="66">
        <v>36</v>
      </c>
      <c r="AN43" s="62">
        <v>35</v>
      </c>
      <c r="AO43" s="62">
        <v>64.75</v>
      </c>
      <c r="AP43" s="62">
        <v>80.59</v>
      </c>
      <c r="AQ43" s="62">
        <v>110.35</v>
      </c>
      <c r="AR43" s="62">
        <v>158.21</v>
      </c>
      <c r="AS43" s="62">
        <v>159.37</v>
      </c>
      <c r="AT43" s="62">
        <v>0</v>
      </c>
      <c r="AU43" s="62">
        <v>0</v>
      </c>
      <c r="AV43" s="62">
        <v>0</v>
      </c>
      <c r="AW43" s="62">
        <v>0</v>
      </c>
      <c r="AX43" s="62">
        <v>0</v>
      </c>
      <c r="AY43" s="62"/>
    </row>
    <row r="44" spans="4:56" s="66" customFormat="1" ht="15" customHeight="1">
      <c r="D44" s="75"/>
      <c r="E44" s="76"/>
      <c r="F44" s="87">
        <v>300</v>
      </c>
      <c r="G44" s="88">
        <v>280.49</v>
      </c>
      <c r="H44" s="88">
        <v>419.26</v>
      </c>
      <c r="I44" s="88">
        <v>525.91</v>
      </c>
      <c r="J44" s="88">
        <v>614.33000000000004</v>
      </c>
      <c r="K44" s="88">
        <v>649.04</v>
      </c>
      <c r="L44" s="88" t="s">
        <v>210</v>
      </c>
      <c r="M44" s="79"/>
      <c r="N44" s="79"/>
      <c r="P44" s="84"/>
      <c r="Q44" s="84"/>
      <c r="R44" s="84"/>
      <c r="S44" s="84"/>
      <c r="T44" s="84"/>
      <c r="U44" s="84"/>
      <c r="V44" s="84"/>
      <c r="AK44" s="66" t="s">
        <v>248</v>
      </c>
      <c r="AL44" s="66">
        <v>37</v>
      </c>
      <c r="AN44" s="62">
        <v>36</v>
      </c>
      <c r="AO44" s="62">
        <v>64.84</v>
      </c>
      <c r="AP44" s="62">
        <v>80.94</v>
      </c>
      <c r="AQ44" s="62">
        <v>110.75</v>
      </c>
      <c r="AR44" s="62">
        <v>159.04</v>
      </c>
      <c r="AS44" s="62">
        <v>160.31</v>
      </c>
      <c r="AT44" s="62">
        <v>0</v>
      </c>
      <c r="AU44" s="62">
        <v>0</v>
      </c>
      <c r="AV44" s="62">
        <v>0</v>
      </c>
      <c r="AW44" s="62">
        <v>0</v>
      </c>
      <c r="AX44" s="62">
        <v>0</v>
      </c>
      <c r="AY44" s="62"/>
    </row>
    <row r="45" spans="4:56" s="66" customFormat="1" ht="15" customHeight="1">
      <c r="D45" s="75"/>
      <c r="E45" s="76"/>
      <c r="F45" s="87">
        <v>400</v>
      </c>
      <c r="G45" s="88">
        <v>373.94</v>
      </c>
      <c r="H45" s="88">
        <v>561.02</v>
      </c>
      <c r="I45" s="88">
        <v>700.51</v>
      </c>
      <c r="J45" s="88">
        <v>816.54</v>
      </c>
      <c r="K45" s="88">
        <v>863.21</v>
      </c>
      <c r="L45" s="88" t="s">
        <v>210</v>
      </c>
      <c r="M45" s="79"/>
      <c r="N45" s="79"/>
      <c r="P45" s="84"/>
      <c r="Q45" s="84"/>
      <c r="R45" s="84"/>
      <c r="S45" s="84"/>
      <c r="T45" s="84"/>
      <c r="U45" s="84"/>
      <c r="V45" s="84"/>
      <c r="AK45" s="66" t="s">
        <v>249</v>
      </c>
      <c r="AL45" s="66">
        <v>38</v>
      </c>
      <c r="AN45" s="62">
        <v>37</v>
      </c>
      <c r="AO45" s="62">
        <v>64.94</v>
      </c>
      <c r="AP45" s="62">
        <v>81.290000000000006</v>
      </c>
      <c r="AQ45" s="62">
        <v>111.2</v>
      </c>
      <c r="AR45" s="62">
        <v>159.85</v>
      </c>
      <c r="AS45" s="62">
        <v>161.27000000000001</v>
      </c>
      <c r="AT45" s="62">
        <v>0</v>
      </c>
      <c r="AU45" s="62">
        <v>0</v>
      </c>
      <c r="AV45" s="62">
        <v>0</v>
      </c>
      <c r="AW45" s="62">
        <v>0</v>
      </c>
      <c r="AX45" s="62">
        <v>0</v>
      </c>
      <c r="AY45" s="62"/>
    </row>
    <row r="46" spans="4:56" s="66" customFormat="1" ht="15" customHeight="1">
      <c r="D46" s="75"/>
      <c r="E46" s="76"/>
      <c r="F46" s="87">
        <v>500</v>
      </c>
      <c r="G46" s="88">
        <v>467.36</v>
      </c>
      <c r="H46" s="88">
        <v>702.75</v>
      </c>
      <c r="I46" s="88">
        <v>875.15</v>
      </c>
      <c r="J46" s="88">
        <v>1018.76</v>
      </c>
      <c r="K46" s="88">
        <v>1077.3900000000001</v>
      </c>
      <c r="L46" s="88" t="s">
        <v>210</v>
      </c>
      <c r="M46" s="79"/>
      <c r="N46" s="79"/>
      <c r="P46" s="84"/>
      <c r="Q46" s="84"/>
      <c r="R46" s="84"/>
      <c r="S46" s="84"/>
      <c r="T46" s="84"/>
      <c r="U46" s="84"/>
      <c r="V46" s="84"/>
      <c r="AK46" s="66" t="s">
        <v>250</v>
      </c>
      <c r="AL46" s="66">
        <v>39</v>
      </c>
      <c r="AN46" s="62">
        <v>38</v>
      </c>
      <c r="AO46" s="62">
        <v>65.069999999999993</v>
      </c>
      <c r="AP46" s="62">
        <v>81.680000000000007</v>
      </c>
      <c r="AQ46" s="62">
        <v>111.63</v>
      </c>
      <c r="AR46" s="62">
        <v>160.66</v>
      </c>
      <c r="AS46" s="62">
        <v>162.19</v>
      </c>
      <c r="AT46" s="62">
        <v>0</v>
      </c>
      <c r="AU46" s="62">
        <v>0</v>
      </c>
      <c r="AV46" s="62">
        <v>0</v>
      </c>
      <c r="AW46" s="62">
        <v>0</v>
      </c>
      <c r="AX46" s="62">
        <v>0</v>
      </c>
      <c r="AY46" s="62"/>
    </row>
    <row r="47" spans="4:56" s="66" customFormat="1" ht="15" customHeight="1">
      <c r="D47" s="75"/>
      <c r="E47" s="76"/>
      <c r="F47" s="87">
        <v>600</v>
      </c>
      <c r="G47" s="88">
        <v>560.80999999999995</v>
      </c>
      <c r="H47" s="88">
        <v>844.5</v>
      </c>
      <c r="I47" s="88">
        <v>1049.78</v>
      </c>
      <c r="J47" s="88">
        <v>1220.97</v>
      </c>
      <c r="K47" s="88">
        <v>1291.56</v>
      </c>
      <c r="L47" s="88" t="s">
        <v>210</v>
      </c>
      <c r="M47" s="79"/>
      <c r="N47" s="79"/>
      <c r="P47" s="84"/>
      <c r="Q47" s="84"/>
      <c r="R47" s="84"/>
      <c r="S47" s="84"/>
      <c r="T47" s="84"/>
      <c r="U47" s="84"/>
      <c r="V47" s="84"/>
      <c r="AK47" s="66" t="s">
        <v>251</v>
      </c>
      <c r="AL47" s="66">
        <v>40</v>
      </c>
      <c r="AN47" s="62">
        <v>39</v>
      </c>
      <c r="AO47" s="62">
        <v>65.150000000000006</v>
      </c>
      <c r="AP47" s="62">
        <v>82.03</v>
      </c>
      <c r="AQ47" s="62">
        <v>112.04</v>
      </c>
      <c r="AR47" s="62">
        <v>161.47</v>
      </c>
      <c r="AS47" s="62">
        <v>163.16</v>
      </c>
      <c r="AT47" s="62">
        <v>0</v>
      </c>
      <c r="AU47" s="62">
        <v>0</v>
      </c>
      <c r="AV47" s="62">
        <v>0</v>
      </c>
      <c r="AW47" s="62">
        <v>0</v>
      </c>
      <c r="AX47" s="62">
        <v>0</v>
      </c>
      <c r="AY47" s="62"/>
    </row>
    <row r="48" spans="4:56" s="66" customFormat="1" ht="15" customHeight="1">
      <c r="D48" s="75"/>
      <c r="E48" s="76"/>
      <c r="F48" s="87">
        <v>700</v>
      </c>
      <c r="G48" s="88">
        <v>654.25</v>
      </c>
      <c r="H48" s="88">
        <v>986.26</v>
      </c>
      <c r="I48" s="88">
        <v>1224.4000000000001</v>
      </c>
      <c r="J48" s="88">
        <v>1423.19</v>
      </c>
      <c r="K48" s="88">
        <v>1505.69</v>
      </c>
      <c r="L48" s="88" t="s">
        <v>210</v>
      </c>
      <c r="M48" s="79"/>
      <c r="N48" s="79"/>
      <c r="P48" s="84"/>
      <c r="Q48" s="84"/>
      <c r="R48" s="84"/>
      <c r="S48" s="84"/>
      <c r="T48" s="84"/>
      <c r="U48" s="84"/>
      <c r="V48" s="84"/>
      <c r="AK48" s="66" t="s">
        <v>252</v>
      </c>
      <c r="AL48" s="66">
        <v>41</v>
      </c>
      <c r="AN48" s="62">
        <v>40</v>
      </c>
      <c r="AO48" s="62">
        <v>65.27</v>
      </c>
      <c r="AP48" s="62">
        <v>82.4</v>
      </c>
      <c r="AQ48" s="62">
        <v>112.48</v>
      </c>
      <c r="AR48" s="62">
        <v>162.30000000000001</v>
      </c>
      <c r="AS48" s="62">
        <v>164.11</v>
      </c>
      <c r="AT48" s="62">
        <v>0</v>
      </c>
      <c r="AU48" s="62">
        <v>0</v>
      </c>
      <c r="AV48" s="62">
        <v>0</v>
      </c>
      <c r="AW48" s="62">
        <v>0</v>
      </c>
      <c r="AX48" s="62">
        <v>0</v>
      </c>
      <c r="AY48" s="62"/>
    </row>
    <row r="49" spans="2:51" s="66" customFormat="1" ht="15" customHeight="1">
      <c r="D49" s="75"/>
      <c r="E49" s="76"/>
      <c r="F49" s="87">
        <v>800</v>
      </c>
      <c r="G49" s="88">
        <v>747.71</v>
      </c>
      <c r="H49" s="88">
        <v>1128.02</v>
      </c>
      <c r="I49" s="88">
        <v>1399.03</v>
      </c>
      <c r="J49" s="88">
        <v>1625.42</v>
      </c>
      <c r="K49" s="88">
        <v>1719.88</v>
      </c>
      <c r="L49" s="88" t="s">
        <v>210</v>
      </c>
      <c r="P49" s="84"/>
      <c r="Q49" s="84"/>
      <c r="R49" s="84"/>
      <c r="S49" s="84"/>
      <c r="T49" s="84"/>
      <c r="U49" s="84"/>
      <c r="V49" s="84"/>
      <c r="AK49" s="66" t="s">
        <v>253</v>
      </c>
      <c r="AL49" s="66">
        <v>42</v>
      </c>
      <c r="AN49" s="62">
        <v>41</v>
      </c>
      <c r="AO49" s="62">
        <v>65.37</v>
      </c>
      <c r="AP49" s="62">
        <v>82.75</v>
      </c>
      <c r="AQ49" s="62">
        <v>112.91</v>
      </c>
      <c r="AR49" s="62">
        <v>163.11000000000001</v>
      </c>
      <c r="AS49" s="62">
        <v>165.05</v>
      </c>
      <c r="AT49" s="62">
        <v>0</v>
      </c>
      <c r="AU49" s="62">
        <v>0</v>
      </c>
      <c r="AV49" s="62">
        <v>0</v>
      </c>
      <c r="AW49" s="62">
        <v>0</v>
      </c>
      <c r="AX49" s="62">
        <v>0</v>
      </c>
      <c r="AY49" s="62"/>
    </row>
    <row r="50" spans="2:51" s="66" customFormat="1" ht="15" customHeight="1">
      <c r="D50" s="75"/>
      <c r="E50" s="76"/>
      <c r="F50" s="87">
        <v>900</v>
      </c>
      <c r="G50" s="88">
        <v>841.14</v>
      </c>
      <c r="H50" s="88">
        <v>1269.77</v>
      </c>
      <c r="I50" s="88">
        <v>1573.68</v>
      </c>
      <c r="J50" s="88">
        <v>1827.63</v>
      </c>
      <c r="K50" s="88">
        <v>1934.02</v>
      </c>
      <c r="L50" s="88" t="s">
        <v>210</v>
      </c>
      <c r="P50" s="113"/>
      <c r="Q50" s="112"/>
      <c r="R50" s="111"/>
      <c r="S50" s="84"/>
      <c r="T50" s="84"/>
      <c r="U50" s="84"/>
      <c r="V50" s="84"/>
      <c r="AK50" s="66" t="s">
        <v>254</v>
      </c>
      <c r="AL50" s="66">
        <v>43</v>
      </c>
      <c r="AN50" s="62">
        <v>42</v>
      </c>
      <c r="AO50" s="62">
        <v>65.459999999999994</v>
      </c>
      <c r="AP50" s="62">
        <v>83.09</v>
      </c>
      <c r="AQ50" s="62">
        <v>113.32</v>
      </c>
      <c r="AR50" s="62">
        <v>163.93</v>
      </c>
      <c r="AS50" s="62">
        <v>165.99</v>
      </c>
      <c r="AT50" s="62">
        <v>0</v>
      </c>
      <c r="AU50" s="62">
        <v>0</v>
      </c>
      <c r="AV50" s="62">
        <v>0</v>
      </c>
      <c r="AW50" s="62">
        <v>0</v>
      </c>
      <c r="AX50" s="62">
        <v>0</v>
      </c>
      <c r="AY50" s="62"/>
    </row>
    <row r="51" spans="2:51" s="66" customFormat="1" ht="15" customHeight="1">
      <c r="D51" s="75"/>
      <c r="E51" s="76"/>
      <c r="F51" s="114">
        <v>1000</v>
      </c>
      <c r="G51" s="115">
        <v>934.6</v>
      </c>
      <c r="H51" s="115">
        <v>1411.51</v>
      </c>
      <c r="I51" s="115">
        <v>1748.28</v>
      </c>
      <c r="J51" s="115">
        <v>2029.85</v>
      </c>
      <c r="K51" s="115">
        <v>2148.1799999999998</v>
      </c>
      <c r="L51" s="115" t="s">
        <v>210</v>
      </c>
      <c r="M51" s="79"/>
      <c r="N51" s="79"/>
      <c r="O51" s="116"/>
      <c r="P51" s="117"/>
      <c r="Q51" s="117"/>
      <c r="R51" s="118"/>
      <c r="S51" s="117"/>
      <c r="T51" s="84"/>
      <c r="U51" s="84"/>
      <c r="V51" s="84"/>
      <c r="AK51" s="66" t="s">
        <v>255</v>
      </c>
      <c r="AL51" s="66">
        <v>44</v>
      </c>
      <c r="AN51" s="62">
        <v>43</v>
      </c>
      <c r="AO51" s="62">
        <v>65.569999999999993</v>
      </c>
      <c r="AP51" s="62">
        <v>83.47</v>
      </c>
      <c r="AQ51" s="62">
        <v>113.76</v>
      </c>
      <c r="AR51" s="62">
        <v>164.73</v>
      </c>
      <c r="AS51" s="62">
        <v>166.93</v>
      </c>
      <c r="AT51" s="62">
        <v>0</v>
      </c>
      <c r="AU51" s="62">
        <v>0</v>
      </c>
      <c r="AV51" s="62">
        <v>0</v>
      </c>
      <c r="AW51" s="62">
        <v>0</v>
      </c>
      <c r="AX51" s="62">
        <v>0</v>
      </c>
      <c r="AY51" s="62"/>
    </row>
    <row r="52" spans="2:51" s="66" customFormat="1" ht="15" customHeight="1" thickBot="1">
      <c r="D52" s="75"/>
      <c r="E52" s="76"/>
      <c r="F52" s="119" t="s">
        <v>117</v>
      </c>
      <c r="G52" s="120">
        <v>0.93500000000000005</v>
      </c>
      <c r="H52" s="120">
        <v>1.413</v>
      </c>
      <c r="I52" s="120">
        <v>1.748</v>
      </c>
      <c r="J52" s="120">
        <v>2.0299999999999998</v>
      </c>
      <c r="K52" s="120">
        <v>2.1469999999999998</v>
      </c>
      <c r="L52" s="120" t="s">
        <v>210</v>
      </c>
      <c r="M52" s="79"/>
      <c r="N52" s="79"/>
      <c r="O52" s="116"/>
      <c r="P52" s="117"/>
      <c r="Q52" s="117"/>
      <c r="R52" s="117"/>
      <c r="S52" s="117"/>
      <c r="T52" s="84"/>
      <c r="U52" s="84"/>
      <c r="V52" s="84"/>
      <c r="AK52" s="66" t="s">
        <v>256</v>
      </c>
      <c r="AL52" s="66">
        <v>45</v>
      </c>
      <c r="AN52" s="62">
        <v>44</v>
      </c>
      <c r="AO52" s="62">
        <v>65.680000000000007</v>
      </c>
      <c r="AP52" s="62">
        <v>83.83</v>
      </c>
      <c r="AQ52" s="62">
        <v>114.2</v>
      </c>
      <c r="AR52" s="62">
        <v>165.54</v>
      </c>
      <c r="AS52" s="62">
        <v>167.89</v>
      </c>
      <c r="AT52" s="62">
        <v>0</v>
      </c>
      <c r="AU52" s="62">
        <v>0</v>
      </c>
      <c r="AV52" s="62">
        <v>0</v>
      </c>
      <c r="AW52" s="62">
        <v>0</v>
      </c>
      <c r="AX52" s="62">
        <v>0</v>
      </c>
      <c r="AY52" s="62"/>
    </row>
    <row r="53" spans="2:51" s="66" customFormat="1" ht="15" customHeight="1">
      <c r="D53" s="75"/>
      <c r="E53" s="76"/>
      <c r="F53" s="66" t="s">
        <v>118</v>
      </c>
      <c r="M53" s="79"/>
      <c r="N53" s="79"/>
      <c r="O53" s="121"/>
      <c r="P53" s="117"/>
      <c r="Q53" s="117"/>
      <c r="R53" s="117"/>
      <c r="S53" s="117"/>
      <c r="T53" s="84"/>
      <c r="U53" s="84"/>
      <c r="V53" s="84"/>
      <c r="AK53" s="66" t="s">
        <v>257</v>
      </c>
      <c r="AL53" s="66">
        <v>46</v>
      </c>
      <c r="AN53" s="62">
        <v>45</v>
      </c>
      <c r="AO53" s="62">
        <v>65.78</v>
      </c>
      <c r="AP53" s="62">
        <v>84.17</v>
      </c>
      <c r="AQ53" s="62">
        <v>114.63</v>
      </c>
      <c r="AR53" s="62">
        <v>166.34</v>
      </c>
      <c r="AS53" s="62">
        <v>168.82</v>
      </c>
      <c r="AT53" s="62">
        <v>0</v>
      </c>
      <c r="AU53" s="62">
        <v>0</v>
      </c>
      <c r="AV53" s="62">
        <v>0</v>
      </c>
      <c r="AW53" s="62">
        <v>0</v>
      </c>
      <c r="AX53" s="62">
        <v>0</v>
      </c>
      <c r="AY53" s="62"/>
    </row>
    <row r="54" spans="2:51" s="66" customFormat="1" ht="15" customHeight="1">
      <c r="D54" s="75"/>
      <c r="E54" s="76"/>
      <c r="F54" s="66" t="s">
        <v>119</v>
      </c>
      <c r="G54" s="116"/>
      <c r="H54" s="116"/>
      <c r="I54" s="116"/>
      <c r="J54" s="116"/>
      <c r="L54" s="122"/>
      <c r="M54" s="79"/>
      <c r="N54" s="79"/>
      <c r="O54" s="116"/>
      <c r="P54" s="117"/>
      <c r="Q54" s="117"/>
      <c r="R54" s="117"/>
      <c r="S54" s="117"/>
      <c r="T54" s="84"/>
      <c r="U54" s="84"/>
      <c r="V54" s="84"/>
      <c r="AK54" s="66" t="s">
        <v>258</v>
      </c>
      <c r="AL54" s="66">
        <v>47</v>
      </c>
      <c r="AN54" s="62">
        <v>46</v>
      </c>
      <c r="AO54" s="62">
        <v>65.89</v>
      </c>
      <c r="AP54" s="62">
        <v>84.55</v>
      </c>
      <c r="AQ54" s="62">
        <v>115.04</v>
      </c>
      <c r="AR54" s="62">
        <v>167.17</v>
      </c>
      <c r="AS54" s="62">
        <v>169.77</v>
      </c>
      <c r="AT54" s="62">
        <v>0</v>
      </c>
      <c r="AU54" s="62">
        <v>0</v>
      </c>
      <c r="AV54" s="62">
        <v>0</v>
      </c>
      <c r="AW54" s="62">
        <v>0</v>
      </c>
      <c r="AX54" s="62">
        <v>0</v>
      </c>
      <c r="AY54" s="62"/>
    </row>
    <row r="55" spans="2:51" s="66" customFormat="1" ht="15" customHeight="1">
      <c r="D55" s="75"/>
      <c r="E55" s="76"/>
      <c r="F55" s="66" t="s">
        <v>120</v>
      </c>
      <c r="H55" s="123"/>
      <c r="I55" s="123">
        <v>200</v>
      </c>
      <c r="J55" s="66" t="s">
        <v>121</v>
      </c>
      <c r="M55" s="79"/>
      <c r="N55" s="79"/>
      <c r="O55" s="121"/>
      <c r="P55" s="117"/>
      <c r="Q55" s="117"/>
      <c r="R55" s="117"/>
      <c r="S55" s="117"/>
      <c r="T55" s="84"/>
      <c r="U55" s="84"/>
      <c r="V55" s="84"/>
      <c r="AK55" s="66" t="s">
        <v>259</v>
      </c>
      <c r="AL55" s="66">
        <v>48</v>
      </c>
      <c r="AN55" s="62">
        <v>47</v>
      </c>
      <c r="AO55" s="62">
        <v>65.98</v>
      </c>
      <c r="AP55" s="62">
        <v>84.92</v>
      </c>
      <c r="AQ55" s="62">
        <v>115.46</v>
      </c>
      <c r="AR55" s="62">
        <v>167.98</v>
      </c>
      <c r="AS55" s="62">
        <v>170.71</v>
      </c>
      <c r="AT55" s="62">
        <v>0</v>
      </c>
      <c r="AU55" s="62">
        <v>0</v>
      </c>
      <c r="AV55" s="62">
        <v>0</v>
      </c>
      <c r="AW55" s="62">
        <v>0</v>
      </c>
      <c r="AX55" s="62">
        <v>0</v>
      </c>
      <c r="AY55" s="62"/>
    </row>
    <row r="56" spans="2:51" s="66" customFormat="1" ht="15" customHeight="1">
      <c r="B56" s="124"/>
      <c r="C56" s="124"/>
      <c r="D56" s="75"/>
      <c r="E56" s="76"/>
      <c r="F56" s="66" t="s">
        <v>122</v>
      </c>
      <c r="L56" s="125">
        <v>46</v>
      </c>
      <c r="M56" s="79"/>
      <c r="N56" s="79"/>
      <c r="O56" s="116"/>
      <c r="P56" s="117"/>
      <c r="Q56" s="117"/>
      <c r="R56" s="117"/>
      <c r="S56" s="117"/>
      <c r="T56" s="84"/>
      <c r="U56" s="84"/>
      <c r="V56" s="84"/>
      <c r="AK56" s="66" t="s">
        <v>260</v>
      </c>
      <c r="AL56" s="66">
        <v>49</v>
      </c>
      <c r="AN56" s="62">
        <v>48</v>
      </c>
      <c r="AO56" s="62">
        <v>66.099999999999994</v>
      </c>
      <c r="AP56" s="62">
        <v>85.25</v>
      </c>
      <c r="AQ56" s="62">
        <v>115.91</v>
      </c>
      <c r="AR56" s="62">
        <v>168.78</v>
      </c>
      <c r="AS56" s="62">
        <v>171.66</v>
      </c>
      <c r="AT56" s="62">
        <v>0</v>
      </c>
      <c r="AU56" s="62">
        <v>0</v>
      </c>
      <c r="AV56" s="62">
        <v>0</v>
      </c>
      <c r="AW56" s="62">
        <v>0</v>
      </c>
      <c r="AX56" s="62">
        <v>0</v>
      </c>
      <c r="AY56" s="62"/>
    </row>
    <row r="57" spans="2:51" s="66" customFormat="1" ht="15" customHeight="1">
      <c r="B57" s="124"/>
      <c r="C57" s="124"/>
      <c r="D57" s="75"/>
      <c r="E57" s="76"/>
      <c r="F57" s="116" t="s">
        <v>123</v>
      </c>
      <c r="H57" s="126"/>
      <c r="I57" s="116" t="s">
        <v>124</v>
      </c>
      <c r="J57" s="127"/>
      <c r="K57" s="116" t="s">
        <v>125</v>
      </c>
      <c r="L57" s="204" t="s">
        <v>471</v>
      </c>
      <c r="M57" s="79"/>
      <c r="N57" s="79"/>
      <c r="O57" s="121"/>
      <c r="P57" s="117"/>
      <c r="Q57" s="117"/>
      <c r="R57" s="117"/>
      <c r="S57" s="117"/>
      <c r="T57" s="84"/>
      <c r="U57" s="84"/>
      <c r="V57" s="84"/>
      <c r="AK57" s="66" t="s">
        <v>261</v>
      </c>
      <c r="AL57" s="66">
        <v>50</v>
      </c>
      <c r="AN57" s="62">
        <v>49</v>
      </c>
      <c r="AO57" s="62">
        <v>66.209999999999994</v>
      </c>
      <c r="AP57" s="62">
        <v>85.64</v>
      </c>
      <c r="AQ57" s="62">
        <v>116.32</v>
      </c>
      <c r="AR57" s="62">
        <v>169.62</v>
      </c>
      <c r="AS57" s="62">
        <v>172.6</v>
      </c>
      <c r="AT57" s="62">
        <v>0</v>
      </c>
      <c r="AU57" s="62">
        <v>0</v>
      </c>
      <c r="AV57" s="62">
        <v>0</v>
      </c>
      <c r="AW57" s="62">
        <v>0</v>
      </c>
      <c r="AX57" s="62">
        <v>0</v>
      </c>
      <c r="AY57" s="62"/>
    </row>
    <row r="58" spans="2:51" s="66" customFormat="1" ht="15" customHeight="1">
      <c r="B58" s="124"/>
      <c r="C58" s="124"/>
      <c r="D58" s="75"/>
      <c r="E58" s="76"/>
      <c r="F58" s="116" t="s">
        <v>126</v>
      </c>
      <c r="M58" s="79"/>
      <c r="N58" s="79"/>
      <c r="O58" s="116"/>
      <c r="P58" s="117"/>
      <c r="Q58" s="117"/>
      <c r="R58" s="117"/>
      <c r="S58" s="117"/>
      <c r="T58" s="84"/>
      <c r="U58" s="84"/>
      <c r="V58" s="84"/>
      <c r="AK58" s="66" t="s">
        <v>262</v>
      </c>
      <c r="AL58" s="66">
        <v>51</v>
      </c>
      <c r="AN58" s="62">
        <v>50</v>
      </c>
      <c r="AO58" s="62">
        <v>66.31</v>
      </c>
      <c r="AP58" s="62">
        <v>85.99</v>
      </c>
      <c r="AQ58" s="62">
        <v>116.76</v>
      </c>
      <c r="AR58" s="62">
        <v>170.43</v>
      </c>
      <c r="AS58" s="62">
        <v>173.53</v>
      </c>
      <c r="AT58" s="62">
        <v>0</v>
      </c>
      <c r="AU58" s="62">
        <v>0</v>
      </c>
      <c r="AV58" s="62">
        <v>0</v>
      </c>
      <c r="AW58" s="62">
        <v>0</v>
      </c>
      <c r="AX58" s="62">
        <v>0</v>
      </c>
      <c r="AY58" s="62"/>
    </row>
    <row r="59" spans="2:51" s="66" customFormat="1" ht="15" customHeight="1">
      <c r="B59" s="124"/>
      <c r="C59" s="124"/>
      <c r="D59" s="75"/>
      <c r="E59" s="76"/>
      <c r="F59" s="128" t="s">
        <v>127</v>
      </c>
      <c r="G59" s="129"/>
      <c r="H59" s="129"/>
      <c r="I59" s="116"/>
      <c r="J59" s="116"/>
      <c r="K59" s="116"/>
      <c r="L59" s="116"/>
      <c r="M59" s="79"/>
      <c r="N59" s="79"/>
      <c r="O59" s="121"/>
      <c r="P59" s="117"/>
      <c r="Q59" s="117"/>
      <c r="R59" s="117"/>
      <c r="S59" s="117"/>
      <c r="T59" s="84"/>
      <c r="U59" s="84"/>
      <c r="V59" s="84"/>
      <c r="AK59" s="66" t="s">
        <v>263</v>
      </c>
      <c r="AL59" s="66">
        <v>52</v>
      </c>
      <c r="AN59" s="62">
        <v>51</v>
      </c>
      <c r="AO59" s="62">
        <v>66.41</v>
      </c>
      <c r="AP59" s="62">
        <v>86.35</v>
      </c>
      <c r="AQ59" s="62">
        <v>117.18</v>
      </c>
      <c r="AR59" s="62">
        <v>171.24</v>
      </c>
      <c r="AS59" s="62">
        <v>174.48</v>
      </c>
      <c r="AT59" s="62">
        <v>0</v>
      </c>
      <c r="AU59" s="62">
        <v>0</v>
      </c>
      <c r="AV59" s="62">
        <v>0</v>
      </c>
      <c r="AW59" s="62">
        <v>0</v>
      </c>
      <c r="AX59" s="62">
        <v>0</v>
      </c>
      <c r="AY59" s="62"/>
    </row>
    <row r="60" spans="2:51" s="66" customFormat="1">
      <c r="B60" s="124"/>
      <c r="C60" s="124"/>
      <c r="D60" s="75"/>
      <c r="E60" s="76"/>
      <c r="F60" s="131" t="s">
        <v>128</v>
      </c>
      <c r="G60" s="132">
        <v>46023</v>
      </c>
      <c r="J60" s="133"/>
      <c r="K60" s="116"/>
      <c r="L60" s="116"/>
      <c r="M60" s="116"/>
      <c r="N60" s="116"/>
      <c r="R60" s="84"/>
      <c r="S60" s="84"/>
      <c r="T60" s="84"/>
      <c r="U60" s="84"/>
      <c r="V60" s="84"/>
      <c r="AK60" s="66" t="s">
        <v>264</v>
      </c>
      <c r="AL60" s="66">
        <v>53</v>
      </c>
      <c r="AN60" s="62">
        <v>52</v>
      </c>
      <c r="AO60" s="62">
        <v>66.5</v>
      </c>
      <c r="AP60" s="62">
        <v>86.7</v>
      </c>
      <c r="AQ60" s="62">
        <v>117.62</v>
      </c>
      <c r="AR60" s="62">
        <v>172.05</v>
      </c>
      <c r="AS60" s="62">
        <v>175.45</v>
      </c>
      <c r="AT60" s="62">
        <v>0</v>
      </c>
      <c r="AU60" s="62">
        <v>0</v>
      </c>
      <c r="AV60" s="62">
        <v>0</v>
      </c>
      <c r="AW60" s="62">
        <v>0</v>
      </c>
      <c r="AX60" s="62">
        <v>0</v>
      </c>
      <c r="AY60" s="62"/>
    </row>
    <row r="61" spans="2:51" s="66" customFormat="1">
      <c r="C61" s="124"/>
      <c r="D61" s="75"/>
      <c r="E61" s="76"/>
      <c r="F61" s="131" t="s">
        <v>129</v>
      </c>
      <c r="G61" s="135" t="s">
        <v>130</v>
      </c>
      <c r="I61" s="116"/>
      <c r="J61" s="116"/>
      <c r="K61" s="116"/>
      <c r="L61" s="116"/>
      <c r="M61" s="121"/>
      <c r="N61" s="121"/>
      <c r="R61" s="84"/>
      <c r="S61" s="84"/>
      <c r="T61" s="84"/>
      <c r="U61" s="84"/>
      <c r="V61" s="84"/>
      <c r="AK61" s="66" t="s">
        <v>265</v>
      </c>
      <c r="AL61" s="66">
        <v>54</v>
      </c>
      <c r="AN61" s="62">
        <v>53</v>
      </c>
      <c r="AO61" s="62">
        <v>66.63</v>
      </c>
      <c r="AP61" s="62">
        <v>87.07</v>
      </c>
      <c r="AQ61" s="62">
        <v>118.04</v>
      </c>
      <c r="AR61" s="62">
        <v>172.86</v>
      </c>
      <c r="AS61" s="62">
        <v>176.35</v>
      </c>
      <c r="AT61" s="62">
        <v>0</v>
      </c>
      <c r="AU61" s="62">
        <v>0</v>
      </c>
      <c r="AV61" s="62">
        <v>0</v>
      </c>
      <c r="AW61" s="62">
        <v>0</v>
      </c>
      <c r="AX61" s="62">
        <v>0</v>
      </c>
      <c r="AY61" s="62"/>
    </row>
    <row r="62" spans="2:51" s="66" customFormat="1" ht="13.5" customHeight="1">
      <c r="B62" s="75" t="s">
        <v>131</v>
      </c>
      <c r="C62" s="75"/>
      <c r="D62" s="75"/>
      <c r="E62" s="76"/>
      <c r="F62" s="66" t="s">
        <v>132</v>
      </c>
      <c r="H62" s="137"/>
      <c r="J62" s="130"/>
      <c r="M62" s="116"/>
      <c r="N62" s="116"/>
      <c r="R62" s="84"/>
      <c r="S62" s="84"/>
      <c r="T62" s="84"/>
      <c r="U62" s="84"/>
      <c r="V62" s="84"/>
      <c r="AK62" s="66" t="s">
        <v>266</v>
      </c>
      <c r="AL62" s="66">
        <v>55</v>
      </c>
      <c r="AN62" s="62">
        <v>54</v>
      </c>
      <c r="AO62" s="62">
        <v>66.72</v>
      </c>
      <c r="AP62" s="62">
        <v>87.42</v>
      </c>
      <c r="AQ62" s="62">
        <v>118.46</v>
      </c>
      <c r="AR62" s="62">
        <v>173.66</v>
      </c>
      <c r="AS62" s="62">
        <v>177.32</v>
      </c>
      <c r="AT62" s="62">
        <v>0</v>
      </c>
      <c r="AU62" s="62">
        <v>0</v>
      </c>
      <c r="AV62" s="62">
        <v>0</v>
      </c>
      <c r="AW62" s="62">
        <v>0</v>
      </c>
      <c r="AX62" s="62">
        <v>0</v>
      </c>
      <c r="AY62" s="62"/>
    </row>
    <row r="63" spans="2:51" s="66" customFormat="1">
      <c r="B63" s="75" t="s">
        <v>43</v>
      </c>
      <c r="C63" s="75">
        <v>3</v>
      </c>
      <c r="D63" s="75"/>
      <c r="E63" s="76"/>
      <c r="F63" s="66" t="s">
        <v>133</v>
      </c>
      <c r="H63" s="116"/>
      <c r="J63" s="134"/>
      <c r="M63" s="116"/>
      <c r="N63" s="116"/>
      <c r="R63" s="84"/>
      <c r="S63" s="84"/>
      <c r="T63" s="84"/>
      <c r="U63" s="84"/>
      <c r="V63" s="84"/>
      <c r="AK63" s="66" t="s">
        <v>267</v>
      </c>
      <c r="AL63" s="66">
        <v>56</v>
      </c>
      <c r="AN63" s="62">
        <v>55</v>
      </c>
      <c r="AO63" s="62">
        <v>66.83</v>
      </c>
      <c r="AP63" s="62">
        <v>87.78</v>
      </c>
      <c r="AQ63" s="62">
        <v>118.91</v>
      </c>
      <c r="AR63" s="62">
        <v>174.5</v>
      </c>
      <c r="AS63" s="62">
        <v>178.25</v>
      </c>
      <c r="AT63" s="62">
        <v>0</v>
      </c>
      <c r="AU63" s="62">
        <v>0</v>
      </c>
      <c r="AV63" s="62">
        <v>0</v>
      </c>
      <c r="AW63" s="62">
        <v>0</v>
      </c>
      <c r="AX63" s="62">
        <v>0</v>
      </c>
      <c r="AY63" s="62"/>
    </row>
    <row r="64" spans="2:51" s="66" customFormat="1">
      <c r="B64" s="75" t="s">
        <v>44</v>
      </c>
      <c r="C64" s="75">
        <v>4</v>
      </c>
      <c r="D64" s="75"/>
      <c r="E64" s="76"/>
      <c r="F64" s="66" t="s">
        <v>134</v>
      </c>
      <c r="M64" s="134"/>
      <c r="N64" s="134"/>
      <c r="R64" s="84"/>
      <c r="S64" s="84"/>
      <c r="T64" s="84"/>
      <c r="U64" s="84"/>
      <c r="V64" s="84"/>
      <c r="AK64" s="66" t="s">
        <v>268</v>
      </c>
      <c r="AL64" s="66">
        <v>57</v>
      </c>
      <c r="AN64" s="62">
        <v>56</v>
      </c>
      <c r="AO64" s="62">
        <v>66.95</v>
      </c>
      <c r="AP64" s="62">
        <v>88.14</v>
      </c>
      <c r="AQ64" s="62">
        <v>119.32</v>
      </c>
      <c r="AR64" s="62">
        <v>175.31</v>
      </c>
      <c r="AS64" s="62">
        <v>179.2</v>
      </c>
      <c r="AT64" s="62">
        <v>0</v>
      </c>
      <c r="AU64" s="62">
        <v>0</v>
      </c>
      <c r="AV64" s="62">
        <v>0</v>
      </c>
      <c r="AW64" s="62">
        <v>0</v>
      </c>
      <c r="AX64" s="62">
        <v>0</v>
      </c>
      <c r="AY64" s="62"/>
    </row>
    <row r="65" spans="2:51" s="66" customFormat="1">
      <c r="B65" s="75" t="s">
        <v>45</v>
      </c>
      <c r="C65" s="75">
        <v>5</v>
      </c>
      <c r="D65" s="75"/>
      <c r="E65" s="76"/>
      <c r="F65" s="66" t="s">
        <v>135</v>
      </c>
      <c r="M65" s="134"/>
      <c r="N65" s="134"/>
      <c r="R65" s="84"/>
      <c r="S65" s="84"/>
      <c r="T65" s="84"/>
      <c r="U65" s="84"/>
      <c r="V65" s="84"/>
      <c r="AK65" s="66" t="s">
        <v>269</v>
      </c>
      <c r="AL65" s="66">
        <v>58</v>
      </c>
      <c r="AN65" s="62">
        <v>57</v>
      </c>
      <c r="AO65" s="62">
        <v>67.02</v>
      </c>
      <c r="AP65" s="62">
        <v>88.5</v>
      </c>
      <c r="AQ65" s="62">
        <v>119.75</v>
      </c>
      <c r="AR65" s="62">
        <v>176.12</v>
      </c>
      <c r="AS65" s="62">
        <v>180.13</v>
      </c>
      <c r="AT65" s="62">
        <v>0</v>
      </c>
      <c r="AU65" s="62">
        <v>0</v>
      </c>
      <c r="AV65" s="62">
        <v>0</v>
      </c>
      <c r="AW65" s="62">
        <v>0</v>
      </c>
      <c r="AX65" s="62">
        <v>0</v>
      </c>
      <c r="AY65" s="62"/>
    </row>
    <row r="66" spans="2:51" s="66" customFormat="1">
      <c r="B66" s="75" t="s">
        <v>46</v>
      </c>
      <c r="C66" s="75">
        <v>6</v>
      </c>
      <c r="D66" s="75"/>
      <c r="E66" s="76"/>
      <c r="F66" s="66" t="s">
        <v>136</v>
      </c>
      <c r="M66" s="134"/>
      <c r="N66" s="134"/>
      <c r="R66" s="84"/>
      <c r="S66" s="84"/>
      <c r="T66" s="84"/>
      <c r="U66" s="84"/>
      <c r="V66" s="84"/>
      <c r="AK66" s="66" t="s">
        <v>270</v>
      </c>
      <c r="AL66" s="66">
        <v>59</v>
      </c>
      <c r="AN66" s="62">
        <v>58</v>
      </c>
      <c r="AO66" s="62">
        <v>67.150000000000006</v>
      </c>
      <c r="AP66" s="62">
        <v>88.87</v>
      </c>
      <c r="AQ66" s="62">
        <v>120.19</v>
      </c>
      <c r="AR66" s="62">
        <v>176.93</v>
      </c>
      <c r="AS66" s="62">
        <v>181.08</v>
      </c>
      <c r="AT66" s="62">
        <v>0</v>
      </c>
      <c r="AU66" s="62">
        <v>0</v>
      </c>
      <c r="AV66" s="62">
        <v>0</v>
      </c>
      <c r="AW66" s="62">
        <v>0</v>
      </c>
      <c r="AX66" s="62">
        <v>0</v>
      </c>
      <c r="AY66" s="62"/>
    </row>
    <row r="67" spans="2:51" s="66" customFormat="1">
      <c r="B67" s="75" t="s">
        <v>47</v>
      </c>
      <c r="C67" s="75">
        <v>7</v>
      </c>
      <c r="D67" s="75"/>
      <c r="E67" s="76"/>
      <c r="F67" s="66" t="s">
        <v>137</v>
      </c>
      <c r="G67" s="128"/>
      <c r="H67" s="128"/>
      <c r="J67" s="139"/>
      <c r="M67" s="134"/>
      <c r="N67" s="134"/>
      <c r="R67" s="84"/>
      <c r="S67" s="84"/>
      <c r="T67" s="84"/>
      <c r="U67" s="84"/>
      <c r="V67" s="84"/>
      <c r="AK67" s="66" t="s">
        <v>271</v>
      </c>
      <c r="AL67" s="66">
        <v>60</v>
      </c>
      <c r="AN67" s="62">
        <v>59</v>
      </c>
      <c r="AO67" s="62">
        <v>67.22</v>
      </c>
      <c r="AP67" s="62">
        <v>89.22</v>
      </c>
      <c r="AQ67" s="62">
        <v>120.62</v>
      </c>
      <c r="AR67" s="62">
        <v>177.76</v>
      </c>
      <c r="AS67" s="62">
        <v>182.03</v>
      </c>
      <c r="AT67" s="62">
        <v>0</v>
      </c>
      <c r="AU67" s="62">
        <v>0</v>
      </c>
      <c r="AV67" s="62">
        <v>0</v>
      </c>
      <c r="AW67" s="62">
        <v>0</v>
      </c>
      <c r="AX67" s="62">
        <v>0</v>
      </c>
      <c r="AY67" s="62"/>
    </row>
    <row r="68" spans="2:51" s="66" customFormat="1">
      <c r="B68" s="75" t="s">
        <v>138</v>
      </c>
      <c r="C68" s="75">
        <v>8</v>
      </c>
      <c r="D68" s="75"/>
      <c r="E68" s="76"/>
      <c r="F68" s="66" t="s">
        <v>139</v>
      </c>
      <c r="M68" s="116"/>
      <c r="N68" s="116"/>
      <c r="O68" s="140"/>
      <c r="P68" s="84"/>
      <c r="Q68" s="84"/>
      <c r="R68" s="84"/>
      <c r="S68" s="84"/>
      <c r="T68" s="84"/>
      <c r="AK68" s="66" t="s">
        <v>272</v>
      </c>
      <c r="AL68" s="66">
        <v>61</v>
      </c>
      <c r="AN68" s="62">
        <v>60</v>
      </c>
      <c r="AO68" s="62">
        <v>67.36</v>
      </c>
      <c r="AP68" s="62">
        <v>89.57</v>
      </c>
      <c r="AQ68" s="62">
        <v>121.05</v>
      </c>
      <c r="AR68" s="62">
        <v>178.56</v>
      </c>
      <c r="AS68" s="62">
        <v>182.97</v>
      </c>
      <c r="AT68" s="62">
        <v>0</v>
      </c>
      <c r="AU68" s="62">
        <v>0</v>
      </c>
      <c r="AV68" s="62">
        <v>0</v>
      </c>
      <c r="AW68" s="62">
        <v>0</v>
      </c>
      <c r="AX68" s="62">
        <v>0</v>
      </c>
      <c r="AY68" s="62"/>
    </row>
    <row r="69" spans="2:51" s="66" customFormat="1">
      <c r="C69" s="75"/>
      <c r="D69" s="75"/>
      <c r="E69" s="76"/>
      <c r="F69" s="66" t="s">
        <v>140</v>
      </c>
      <c r="G69" s="130"/>
      <c r="H69" s="136"/>
      <c r="I69" s="136"/>
      <c r="J69" s="130"/>
      <c r="K69" s="136"/>
      <c r="O69" s="140"/>
      <c r="P69" s="84"/>
      <c r="Q69" s="84"/>
      <c r="R69" s="84"/>
      <c r="S69" s="84"/>
      <c r="T69" s="84"/>
      <c r="AK69" s="66" t="s">
        <v>273</v>
      </c>
      <c r="AL69" s="66">
        <v>62</v>
      </c>
      <c r="AN69" s="62">
        <v>61</v>
      </c>
      <c r="AO69" s="62">
        <v>67.459999999999994</v>
      </c>
      <c r="AP69" s="62">
        <v>89.95</v>
      </c>
      <c r="AQ69" s="62">
        <v>121.46</v>
      </c>
      <c r="AR69" s="62">
        <v>179.39</v>
      </c>
      <c r="AS69" s="62">
        <v>183.91</v>
      </c>
      <c r="AT69" s="62">
        <v>0</v>
      </c>
      <c r="AU69" s="62">
        <v>0</v>
      </c>
      <c r="AV69" s="62">
        <v>0</v>
      </c>
      <c r="AW69" s="62">
        <v>0</v>
      </c>
      <c r="AX69" s="62">
        <v>0</v>
      </c>
      <c r="AY69" s="62"/>
    </row>
    <row r="70" spans="2:51" s="66" customFormat="1">
      <c r="B70" s="124"/>
      <c r="C70" s="124"/>
      <c r="D70" s="75"/>
      <c r="E70" s="76"/>
      <c r="F70" s="66" t="s">
        <v>141</v>
      </c>
      <c r="O70" s="140"/>
      <c r="P70" s="84"/>
      <c r="Q70" s="84"/>
      <c r="R70" s="84"/>
      <c r="S70" s="84"/>
      <c r="T70" s="84"/>
      <c r="AK70" s="66" t="s">
        <v>274</v>
      </c>
      <c r="AL70" s="66">
        <v>63</v>
      </c>
      <c r="AN70" s="62">
        <v>62</v>
      </c>
      <c r="AO70" s="62">
        <v>67.55</v>
      </c>
      <c r="AP70" s="62">
        <v>90.32</v>
      </c>
      <c r="AQ70" s="62">
        <v>121.89</v>
      </c>
      <c r="AR70" s="62">
        <v>180.21</v>
      </c>
      <c r="AS70" s="62">
        <v>184.85</v>
      </c>
      <c r="AT70" s="62">
        <v>0</v>
      </c>
      <c r="AU70" s="62">
        <v>0</v>
      </c>
      <c r="AV70" s="62">
        <v>0</v>
      </c>
      <c r="AW70" s="62">
        <v>0</v>
      </c>
      <c r="AX70" s="62">
        <v>0</v>
      </c>
      <c r="AY70" s="62"/>
    </row>
    <row r="71" spans="2:51" s="66" customFormat="1">
      <c r="B71" s="124"/>
      <c r="C71" s="124"/>
      <c r="D71" s="75"/>
      <c r="E71" s="76"/>
      <c r="F71" s="66" t="s">
        <v>142</v>
      </c>
      <c r="O71" s="140"/>
      <c r="P71" s="84"/>
      <c r="Q71" s="84"/>
      <c r="R71" s="84"/>
      <c r="S71" s="84"/>
      <c r="T71" s="84"/>
      <c r="AK71" s="66" t="s">
        <v>275</v>
      </c>
      <c r="AL71" s="66">
        <v>64</v>
      </c>
      <c r="AN71" s="62">
        <v>63</v>
      </c>
      <c r="AO71" s="62">
        <v>67.66</v>
      </c>
      <c r="AP71" s="62">
        <v>90.64</v>
      </c>
      <c r="AQ71" s="62">
        <v>122.33</v>
      </c>
      <c r="AR71" s="62">
        <v>181.02</v>
      </c>
      <c r="AS71" s="62">
        <v>185.81</v>
      </c>
      <c r="AT71" s="62">
        <v>0</v>
      </c>
      <c r="AU71" s="62">
        <v>0</v>
      </c>
      <c r="AV71" s="62">
        <v>0</v>
      </c>
      <c r="AW71" s="62">
        <v>0</v>
      </c>
      <c r="AX71" s="62">
        <v>0</v>
      </c>
      <c r="AY71" s="62"/>
    </row>
    <row r="72" spans="2:51" s="66" customFormat="1">
      <c r="D72" s="75"/>
      <c r="E72" s="76"/>
      <c r="F72" s="66" t="s">
        <v>143</v>
      </c>
      <c r="O72" s="140"/>
      <c r="P72" s="84"/>
      <c r="Q72" s="84"/>
      <c r="R72" s="84"/>
      <c r="S72" s="84"/>
      <c r="T72" s="84"/>
      <c r="AK72" s="66" t="s">
        <v>276</v>
      </c>
      <c r="AL72" s="66">
        <v>65</v>
      </c>
      <c r="AN72" s="62">
        <v>64</v>
      </c>
      <c r="AO72" s="62">
        <v>67.75</v>
      </c>
      <c r="AP72" s="62">
        <v>91.02</v>
      </c>
      <c r="AQ72" s="62">
        <v>122.75</v>
      </c>
      <c r="AR72" s="62">
        <v>181.83</v>
      </c>
      <c r="AS72" s="62">
        <v>186.74</v>
      </c>
      <c r="AT72" s="62">
        <v>0</v>
      </c>
      <c r="AU72" s="62">
        <v>0</v>
      </c>
      <c r="AV72" s="62">
        <v>0</v>
      </c>
      <c r="AW72" s="62">
        <v>0</v>
      </c>
      <c r="AX72" s="62">
        <v>0</v>
      </c>
      <c r="AY72" s="62"/>
    </row>
    <row r="73" spans="2:51" s="66" customFormat="1">
      <c r="D73" s="75"/>
      <c r="E73" s="76"/>
      <c r="F73" s="66" t="s">
        <v>144</v>
      </c>
      <c r="O73" s="140"/>
      <c r="P73" s="84"/>
      <c r="Q73" s="84"/>
      <c r="R73" s="84"/>
      <c r="S73" s="84"/>
      <c r="T73" s="84"/>
      <c r="AK73" s="66" t="s">
        <v>277</v>
      </c>
      <c r="AL73" s="66">
        <v>66</v>
      </c>
      <c r="AN73" s="62">
        <v>65</v>
      </c>
      <c r="AO73" s="62">
        <v>67.849999999999994</v>
      </c>
      <c r="AP73" s="62">
        <v>91.39</v>
      </c>
      <c r="AQ73" s="62">
        <v>123.18</v>
      </c>
      <c r="AR73" s="62">
        <v>182.65</v>
      </c>
      <c r="AS73" s="62">
        <v>187.7</v>
      </c>
      <c r="AT73" s="62">
        <v>0</v>
      </c>
      <c r="AU73" s="62">
        <v>0</v>
      </c>
      <c r="AV73" s="62">
        <v>0</v>
      </c>
      <c r="AW73" s="62">
        <v>0</v>
      </c>
      <c r="AX73" s="62">
        <v>0</v>
      </c>
      <c r="AY73" s="62"/>
    </row>
    <row r="74" spans="2:51" s="66" customFormat="1">
      <c r="D74" s="75"/>
      <c r="E74" s="76"/>
      <c r="F74" s="66" t="s">
        <v>145</v>
      </c>
      <c r="M74" s="141"/>
      <c r="N74" s="141"/>
      <c r="O74" s="140"/>
      <c r="P74" s="84"/>
      <c r="Q74" s="84"/>
      <c r="R74" s="84"/>
      <c r="S74" s="84"/>
      <c r="T74" s="84"/>
      <c r="AK74" s="66" t="s">
        <v>278</v>
      </c>
      <c r="AL74" s="66">
        <v>67</v>
      </c>
      <c r="AN74" s="62">
        <v>66</v>
      </c>
      <c r="AO74" s="62">
        <v>67.989999999999995</v>
      </c>
      <c r="AP74" s="62">
        <v>91.74</v>
      </c>
      <c r="AQ74" s="62">
        <v>123.6</v>
      </c>
      <c r="AR74" s="62">
        <v>183.45</v>
      </c>
      <c r="AS74" s="62">
        <v>188.65</v>
      </c>
      <c r="AT74" s="62">
        <v>0</v>
      </c>
      <c r="AU74" s="62">
        <v>0</v>
      </c>
      <c r="AV74" s="62">
        <v>0</v>
      </c>
      <c r="AW74" s="62">
        <v>0</v>
      </c>
      <c r="AX74" s="62">
        <v>0</v>
      </c>
      <c r="AY74" s="62"/>
    </row>
    <row r="75" spans="2:51" s="66" customFormat="1">
      <c r="D75" s="75"/>
      <c r="E75" s="76"/>
      <c r="F75" s="66" t="s">
        <v>146</v>
      </c>
      <c r="M75" s="141"/>
      <c r="N75" s="141"/>
      <c r="O75" s="140"/>
      <c r="P75" s="84"/>
      <c r="Q75" s="84"/>
      <c r="R75" s="84"/>
      <c r="S75" s="84"/>
      <c r="T75" s="84"/>
      <c r="AK75" s="66" t="s">
        <v>279</v>
      </c>
      <c r="AL75" s="66">
        <v>68</v>
      </c>
      <c r="AN75" s="62">
        <v>67</v>
      </c>
      <c r="AO75" s="62">
        <v>68.08</v>
      </c>
      <c r="AP75" s="62">
        <v>92.11</v>
      </c>
      <c r="AQ75" s="62">
        <v>124.04</v>
      </c>
      <c r="AR75" s="62">
        <v>184.27</v>
      </c>
      <c r="AS75" s="62">
        <v>189.58</v>
      </c>
      <c r="AT75" s="62">
        <v>0</v>
      </c>
      <c r="AU75" s="62">
        <v>0</v>
      </c>
      <c r="AV75" s="62">
        <v>0</v>
      </c>
      <c r="AW75" s="62">
        <v>0</v>
      </c>
      <c r="AX75" s="62">
        <v>0</v>
      </c>
      <c r="AY75" s="62"/>
    </row>
    <row r="76" spans="2:51" s="66" customFormat="1">
      <c r="D76" s="75"/>
      <c r="E76" s="76"/>
      <c r="F76" s="142" t="s">
        <v>147</v>
      </c>
      <c r="J76" s="143">
        <v>46081</v>
      </c>
      <c r="M76" s="138"/>
      <c r="N76" s="141"/>
      <c r="O76" s="141"/>
      <c r="P76" s="140"/>
      <c r="Q76" s="84"/>
      <c r="R76" s="84"/>
      <c r="S76" s="84"/>
      <c r="T76" s="84"/>
      <c r="U76" s="84"/>
      <c r="AK76" s="66" t="s">
        <v>280</v>
      </c>
      <c r="AL76" s="66">
        <v>69</v>
      </c>
      <c r="AN76" s="62">
        <v>68</v>
      </c>
      <c r="AO76" s="62">
        <v>68.19</v>
      </c>
      <c r="AP76" s="62">
        <v>92.46</v>
      </c>
      <c r="AQ76" s="62">
        <v>124.47</v>
      </c>
      <c r="AR76" s="62">
        <v>185.08</v>
      </c>
      <c r="AS76" s="62">
        <v>190.53</v>
      </c>
      <c r="AT76" s="62">
        <v>0</v>
      </c>
      <c r="AU76" s="62">
        <v>0</v>
      </c>
      <c r="AV76" s="62">
        <v>0</v>
      </c>
      <c r="AW76" s="62">
        <v>0</v>
      </c>
      <c r="AX76" s="62">
        <v>0</v>
      </c>
      <c r="AY76" s="62"/>
    </row>
    <row r="77" spans="2:51" s="66" customFormat="1" ht="13.5" thickBot="1">
      <c r="D77" s="75"/>
      <c r="E77" s="76"/>
      <c r="F77" s="144" t="s">
        <v>148</v>
      </c>
      <c r="G77" s="145"/>
      <c r="H77" s="145"/>
      <c r="I77" s="145"/>
      <c r="J77" s="145"/>
      <c r="K77" s="145"/>
      <c r="L77" s="145"/>
      <c r="M77" s="138"/>
      <c r="N77" s="141"/>
      <c r="O77" s="141"/>
      <c r="P77" s="140"/>
      <c r="Q77" s="84"/>
      <c r="R77" s="84"/>
      <c r="S77" s="84"/>
      <c r="T77" s="84"/>
      <c r="U77" s="84"/>
      <c r="AK77" s="66" t="s">
        <v>281</v>
      </c>
      <c r="AL77" s="66">
        <v>70</v>
      </c>
      <c r="AN77" s="62">
        <v>69</v>
      </c>
      <c r="AO77" s="62">
        <v>68.28</v>
      </c>
      <c r="AP77" s="62">
        <v>92.84</v>
      </c>
      <c r="AQ77" s="62">
        <v>124.89</v>
      </c>
      <c r="AR77" s="62">
        <v>185.9</v>
      </c>
      <c r="AS77" s="62">
        <v>191.47</v>
      </c>
      <c r="AT77" s="62">
        <v>0</v>
      </c>
      <c r="AU77" s="62">
        <v>0</v>
      </c>
      <c r="AV77" s="62">
        <v>0</v>
      </c>
      <c r="AW77" s="62">
        <v>0</v>
      </c>
      <c r="AX77" s="62">
        <v>0</v>
      </c>
      <c r="AY77" s="62"/>
    </row>
    <row r="78" spans="2:51" s="66" customFormat="1">
      <c r="D78" s="75"/>
      <c r="E78" s="76"/>
      <c r="F78" s="146" t="s">
        <v>149</v>
      </c>
      <c r="G78" s="146"/>
      <c r="H78" s="146"/>
      <c r="I78" s="147"/>
      <c r="J78" s="147"/>
      <c r="K78" s="146" t="s">
        <v>150</v>
      </c>
      <c r="L78" s="147"/>
      <c r="M78" s="138"/>
      <c r="N78" s="141"/>
      <c r="O78" s="141"/>
      <c r="P78" s="140"/>
      <c r="Q78" s="84"/>
      <c r="R78" s="84"/>
      <c r="S78" s="84"/>
      <c r="T78" s="84"/>
      <c r="U78" s="84"/>
      <c r="AK78" s="66" t="s">
        <v>282</v>
      </c>
      <c r="AL78" s="66">
        <v>75</v>
      </c>
      <c r="AN78" s="62">
        <v>70</v>
      </c>
      <c r="AO78" s="62">
        <v>68.38</v>
      </c>
      <c r="AP78" s="62">
        <v>93.19</v>
      </c>
      <c r="AQ78" s="62">
        <v>125.31</v>
      </c>
      <c r="AR78" s="62">
        <v>186.71</v>
      </c>
      <c r="AS78" s="62">
        <v>192.42</v>
      </c>
      <c r="AT78" s="62">
        <v>0</v>
      </c>
      <c r="AU78" s="62">
        <v>0</v>
      </c>
      <c r="AV78" s="62">
        <v>0</v>
      </c>
      <c r="AW78" s="62">
        <v>0</v>
      </c>
      <c r="AX78" s="62">
        <v>0</v>
      </c>
      <c r="AY78" s="62"/>
    </row>
    <row r="79" spans="2:51" s="66" customFormat="1">
      <c r="D79" s="75"/>
      <c r="E79" s="76"/>
      <c r="F79" s="13" t="s">
        <v>151</v>
      </c>
      <c r="G79" s="148"/>
      <c r="H79" s="23"/>
      <c r="I79" s="23"/>
      <c r="J79" s="23"/>
      <c r="K79" s="13" t="s">
        <v>151</v>
      </c>
      <c r="L79" s="148"/>
      <c r="M79" s="138"/>
      <c r="N79" s="141"/>
      <c r="O79" s="141"/>
      <c r="P79" s="140"/>
      <c r="Q79" s="84"/>
      <c r="R79" s="84"/>
      <c r="S79" s="84"/>
      <c r="T79" s="84"/>
      <c r="U79" s="84"/>
      <c r="AK79" s="66" t="s">
        <v>283</v>
      </c>
      <c r="AL79" s="66">
        <v>80</v>
      </c>
      <c r="AN79" s="62">
        <v>75</v>
      </c>
      <c r="AO79" s="62">
        <v>79.459999999999994</v>
      </c>
      <c r="AP79" s="62">
        <v>108.96</v>
      </c>
      <c r="AQ79" s="62">
        <v>145.84</v>
      </c>
      <c r="AR79" s="62">
        <v>195.76</v>
      </c>
      <c r="AS79" s="62">
        <v>202.07</v>
      </c>
      <c r="AT79" s="62">
        <v>0</v>
      </c>
      <c r="AU79" s="62">
        <v>0</v>
      </c>
      <c r="AV79" s="62">
        <v>0</v>
      </c>
      <c r="AW79" s="62">
        <v>0</v>
      </c>
      <c r="AX79" s="62">
        <v>0</v>
      </c>
      <c r="AY79" s="62"/>
    </row>
    <row r="80" spans="2:51" s="66" customFormat="1">
      <c r="D80" s="75"/>
      <c r="E80" s="76"/>
      <c r="F80" s="13" t="s">
        <v>152</v>
      </c>
      <c r="G80" s="149">
        <v>45989</v>
      </c>
      <c r="H80" s="13"/>
      <c r="I80" s="23"/>
      <c r="J80" s="23"/>
      <c r="K80" s="13" t="s">
        <v>152</v>
      </c>
      <c r="L80" s="149">
        <v>45989</v>
      </c>
      <c r="M80" s="138"/>
      <c r="N80" s="141"/>
      <c r="O80" s="141"/>
      <c r="P80" s="140"/>
      <c r="Q80" s="84"/>
      <c r="R80" s="84"/>
      <c r="S80" s="84"/>
      <c r="T80" s="84"/>
      <c r="U80" s="84"/>
      <c r="AK80" s="66" t="s">
        <v>284</v>
      </c>
      <c r="AL80" s="66">
        <v>85</v>
      </c>
      <c r="AN80" s="62">
        <v>80</v>
      </c>
      <c r="AO80" s="62">
        <v>82.95</v>
      </c>
      <c r="AP80" s="62">
        <v>114.36</v>
      </c>
      <c r="AQ80" s="62">
        <v>152.43</v>
      </c>
      <c r="AR80" s="62">
        <v>204.8</v>
      </c>
      <c r="AS80" s="62">
        <v>211.72</v>
      </c>
      <c r="AT80" s="62">
        <v>0</v>
      </c>
      <c r="AU80" s="62">
        <v>0</v>
      </c>
      <c r="AV80" s="62">
        <v>0</v>
      </c>
      <c r="AW80" s="62">
        <v>0</v>
      </c>
      <c r="AX80" s="62">
        <v>0</v>
      </c>
      <c r="AY80" s="62"/>
    </row>
    <row r="81" spans="4:51" s="66" customFormat="1">
      <c r="D81" s="75"/>
      <c r="E81" s="76"/>
      <c r="F81" s="13" t="s">
        <v>153</v>
      </c>
      <c r="G81" s="150"/>
      <c r="H81" s="151"/>
      <c r="I81" s="151"/>
      <c r="J81" s="23"/>
      <c r="K81" s="13" t="s">
        <v>153</v>
      </c>
      <c r="L81" s="148"/>
      <c r="M81" s="138"/>
      <c r="N81" s="141"/>
      <c r="O81" s="141"/>
      <c r="P81" s="140"/>
      <c r="Q81" s="84"/>
      <c r="R81" s="84"/>
      <c r="S81" s="84"/>
      <c r="T81" s="84"/>
      <c r="U81" s="84"/>
      <c r="AK81" s="66" t="s">
        <v>285</v>
      </c>
      <c r="AL81" s="66">
        <v>90</v>
      </c>
      <c r="AN81" s="62">
        <v>85</v>
      </c>
      <c r="AO81" s="62">
        <v>86.41</v>
      </c>
      <c r="AP81" s="62">
        <v>119.77</v>
      </c>
      <c r="AQ81" s="62">
        <v>159.03</v>
      </c>
      <c r="AR81" s="62">
        <v>213.84</v>
      </c>
      <c r="AS81" s="62">
        <v>221.39</v>
      </c>
      <c r="AT81" s="62">
        <v>0</v>
      </c>
      <c r="AU81" s="62">
        <v>0</v>
      </c>
      <c r="AV81" s="62">
        <v>0</v>
      </c>
      <c r="AW81" s="62">
        <v>0</v>
      </c>
      <c r="AX81" s="62">
        <v>0</v>
      </c>
      <c r="AY81" s="62"/>
    </row>
    <row r="82" spans="4:51" s="66" customFormat="1">
      <c r="D82" s="75"/>
      <c r="E82" s="76"/>
      <c r="M82" s="138"/>
      <c r="N82" s="141"/>
      <c r="O82" s="141"/>
      <c r="P82" s="140"/>
      <c r="Q82" s="84"/>
      <c r="R82" s="84"/>
      <c r="S82" s="84"/>
      <c r="T82" s="84"/>
      <c r="U82" s="84"/>
      <c r="AK82" s="66" t="s">
        <v>286</v>
      </c>
      <c r="AL82" s="66">
        <v>95</v>
      </c>
      <c r="AN82" s="62">
        <v>90</v>
      </c>
      <c r="AO82" s="62">
        <v>89.88</v>
      </c>
      <c r="AP82" s="62">
        <v>125.19</v>
      </c>
      <c r="AQ82" s="62">
        <v>165.58</v>
      </c>
      <c r="AR82" s="62">
        <v>222.89</v>
      </c>
      <c r="AS82" s="62">
        <v>231.05</v>
      </c>
      <c r="AT82" s="62">
        <v>0</v>
      </c>
      <c r="AU82" s="62">
        <v>0</v>
      </c>
      <c r="AV82" s="62">
        <v>0</v>
      </c>
      <c r="AW82" s="62">
        <v>0</v>
      </c>
      <c r="AX82" s="62">
        <v>0</v>
      </c>
      <c r="AY82" s="62"/>
    </row>
    <row r="83" spans="4:51" s="66" customFormat="1">
      <c r="D83" s="75"/>
      <c r="E83" s="76"/>
      <c r="F83" s="63"/>
      <c r="G83" s="63"/>
      <c r="H83" s="138"/>
      <c r="I83" s="138"/>
      <c r="J83" s="138"/>
      <c r="K83" s="138"/>
      <c r="L83" s="138"/>
      <c r="M83" s="138"/>
      <c r="N83" s="141"/>
      <c r="O83" s="141"/>
      <c r="P83" s="140"/>
      <c r="Q83" s="84"/>
      <c r="R83" s="84"/>
      <c r="S83" s="84"/>
      <c r="T83" s="84"/>
      <c r="U83" s="84"/>
      <c r="AK83" s="66" t="s">
        <v>287</v>
      </c>
      <c r="AL83" s="66">
        <v>100</v>
      </c>
      <c r="AN83" s="62">
        <v>95</v>
      </c>
      <c r="AO83" s="62">
        <v>93.35</v>
      </c>
      <c r="AP83" s="62">
        <v>130.63</v>
      </c>
      <c r="AQ83" s="62">
        <v>172.19</v>
      </c>
      <c r="AR83" s="62">
        <v>231.92</v>
      </c>
      <c r="AS83" s="62">
        <v>240.71</v>
      </c>
      <c r="AT83" s="62">
        <v>0</v>
      </c>
      <c r="AU83" s="62">
        <v>0</v>
      </c>
      <c r="AV83" s="62">
        <v>0</v>
      </c>
      <c r="AW83" s="62">
        <v>0</v>
      </c>
      <c r="AX83" s="62">
        <v>0</v>
      </c>
      <c r="AY83" s="62"/>
    </row>
    <row r="84" spans="4:51" s="66" customFormat="1">
      <c r="D84" s="75"/>
      <c r="E84" s="76"/>
      <c r="F84" s="63"/>
      <c r="G84" s="63"/>
      <c r="H84" s="138"/>
      <c r="I84" s="138"/>
      <c r="J84" s="138"/>
      <c r="K84" s="138"/>
      <c r="L84" s="138"/>
      <c r="M84" s="138"/>
      <c r="N84" s="141"/>
      <c r="O84" s="141"/>
      <c r="P84" s="140"/>
      <c r="Q84" s="84"/>
      <c r="R84" s="84"/>
      <c r="S84" s="84"/>
      <c r="T84" s="84"/>
      <c r="U84" s="84"/>
      <c r="AK84" s="66" t="s">
        <v>288</v>
      </c>
      <c r="AL84" s="66">
        <v>105</v>
      </c>
      <c r="AN84" s="62">
        <v>100</v>
      </c>
      <c r="AO84" s="62">
        <v>96.82</v>
      </c>
      <c r="AP84" s="62">
        <v>136.02000000000001</v>
      </c>
      <c r="AQ84" s="62">
        <v>178.77</v>
      </c>
      <c r="AR84" s="62">
        <v>240.97</v>
      </c>
      <c r="AS84" s="62">
        <v>250.39</v>
      </c>
      <c r="AT84" s="62">
        <v>0</v>
      </c>
      <c r="AU84" s="62">
        <v>0</v>
      </c>
      <c r="AV84" s="62">
        <v>0</v>
      </c>
      <c r="AW84" s="62">
        <v>0</v>
      </c>
      <c r="AX84" s="62">
        <v>0</v>
      </c>
      <c r="AY84" s="62"/>
    </row>
    <row r="85" spans="4:51" s="66" customFormat="1">
      <c r="D85" s="75"/>
      <c r="E85" s="76"/>
      <c r="F85" s="63"/>
      <c r="G85" s="63"/>
      <c r="H85" s="138"/>
      <c r="I85" s="138"/>
      <c r="J85" s="138"/>
      <c r="K85" s="138"/>
      <c r="L85" s="138"/>
      <c r="M85" s="138"/>
      <c r="N85" s="141"/>
      <c r="O85" s="141"/>
      <c r="P85" s="140"/>
      <c r="Q85" s="84"/>
      <c r="R85" s="84"/>
      <c r="S85" s="84"/>
      <c r="T85" s="84"/>
      <c r="U85" s="84"/>
      <c r="AK85" s="66" t="s">
        <v>289</v>
      </c>
      <c r="AL85" s="66">
        <v>110</v>
      </c>
      <c r="AN85" s="62">
        <v>105</v>
      </c>
      <c r="AO85" s="62">
        <v>117.04</v>
      </c>
      <c r="AP85" s="62">
        <v>165.01</v>
      </c>
      <c r="AQ85" s="62">
        <v>216.24</v>
      </c>
      <c r="AR85" s="62">
        <v>250</v>
      </c>
      <c r="AS85" s="62">
        <v>260.05</v>
      </c>
      <c r="AT85" s="62">
        <v>0</v>
      </c>
      <c r="AU85" s="62">
        <v>0</v>
      </c>
      <c r="AV85" s="62">
        <v>0</v>
      </c>
      <c r="AW85" s="62">
        <v>0</v>
      </c>
      <c r="AX85" s="62">
        <v>0</v>
      </c>
      <c r="AY85" s="62"/>
    </row>
    <row r="86" spans="4:51" s="66" customFormat="1">
      <c r="D86" s="75"/>
      <c r="E86" s="76"/>
      <c r="F86" s="63"/>
      <c r="G86" s="63"/>
      <c r="H86" s="138"/>
      <c r="I86" s="138"/>
      <c r="J86" s="138"/>
      <c r="K86" s="138"/>
      <c r="L86" s="138"/>
      <c r="M86" s="138"/>
      <c r="N86" s="141"/>
      <c r="O86" s="141"/>
      <c r="P86" s="140"/>
      <c r="Q86" s="84"/>
      <c r="R86" s="84"/>
      <c r="S86" s="84"/>
      <c r="T86" s="84"/>
      <c r="U86" s="84"/>
      <c r="AK86" s="66" t="s">
        <v>290</v>
      </c>
      <c r="AL86" s="66">
        <v>115</v>
      </c>
      <c r="AN86" s="62">
        <v>110</v>
      </c>
      <c r="AO86" s="62">
        <v>121.09</v>
      </c>
      <c r="AP86" s="62">
        <v>171.32</v>
      </c>
      <c r="AQ86" s="62">
        <v>223.95</v>
      </c>
      <c r="AR86" s="62">
        <v>259.06</v>
      </c>
      <c r="AS86" s="62">
        <v>269.69</v>
      </c>
      <c r="AT86" s="62">
        <v>0</v>
      </c>
      <c r="AU86" s="62">
        <v>0</v>
      </c>
      <c r="AV86" s="62">
        <v>0</v>
      </c>
      <c r="AW86" s="62">
        <v>0</v>
      </c>
      <c r="AX86" s="62">
        <v>0</v>
      </c>
      <c r="AY86" s="62"/>
    </row>
    <row r="87" spans="4:51" s="66" customFormat="1">
      <c r="D87" s="75"/>
      <c r="E87" s="76"/>
      <c r="F87" s="63"/>
      <c r="G87" s="63"/>
      <c r="H87" s="138"/>
      <c r="I87" s="138"/>
      <c r="J87" s="138"/>
      <c r="K87" s="138"/>
      <c r="L87" s="138"/>
      <c r="M87" s="138"/>
      <c r="N87" s="141"/>
      <c r="O87" s="141"/>
      <c r="P87" s="140"/>
      <c r="Q87" s="84"/>
      <c r="R87" s="84"/>
      <c r="S87" s="84"/>
      <c r="T87" s="84"/>
      <c r="U87" s="84"/>
      <c r="AK87" s="66" t="s">
        <v>291</v>
      </c>
      <c r="AL87" s="66">
        <v>120</v>
      </c>
      <c r="AN87" s="62">
        <v>115</v>
      </c>
      <c r="AO87" s="62">
        <v>125.15</v>
      </c>
      <c r="AP87" s="62">
        <v>177.63</v>
      </c>
      <c r="AQ87" s="62">
        <v>231.63</v>
      </c>
      <c r="AR87" s="62">
        <v>268.08999999999997</v>
      </c>
      <c r="AS87" s="62">
        <v>279.37</v>
      </c>
      <c r="AT87" s="62">
        <v>0</v>
      </c>
      <c r="AU87" s="62">
        <v>0</v>
      </c>
      <c r="AV87" s="62">
        <v>0</v>
      </c>
      <c r="AW87" s="62">
        <v>0</v>
      </c>
      <c r="AX87" s="62">
        <v>0</v>
      </c>
      <c r="AY87" s="62"/>
    </row>
    <row r="88" spans="4:51" s="66" customFormat="1">
      <c r="D88" s="75"/>
      <c r="E88" s="76"/>
      <c r="F88" s="63"/>
      <c r="G88" s="63"/>
      <c r="H88" s="138"/>
      <c r="I88" s="138"/>
      <c r="J88" s="138"/>
      <c r="K88" s="138"/>
      <c r="L88" s="138"/>
      <c r="M88" s="138"/>
      <c r="N88" s="141"/>
      <c r="O88" s="141"/>
      <c r="P88" s="140"/>
      <c r="Q88" s="84"/>
      <c r="R88" s="84"/>
      <c r="S88" s="84"/>
      <c r="T88" s="84"/>
      <c r="U88" s="84"/>
      <c r="AK88" s="66" t="s">
        <v>292</v>
      </c>
      <c r="AL88" s="66">
        <v>125</v>
      </c>
      <c r="AN88" s="62">
        <v>120</v>
      </c>
      <c r="AO88" s="62">
        <v>129.19</v>
      </c>
      <c r="AP88" s="62">
        <v>183.96</v>
      </c>
      <c r="AQ88" s="62">
        <v>239.31</v>
      </c>
      <c r="AR88" s="62">
        <v>277.17</v>
      </c>
      <c r="AS88" s="62">
        <v>289.01</v>
      </c>
      <c r="AT88" s="62">
        <v>0</v>
      </c>
      <c r="AU88" s="62">
        <v>0</v>
      </c>
      <c r="AV88" s="62">
        <v>0</v>
      </c>
      <c r="AW88" s="62">
        <v>0</v>
      </c>
      <c r="AX88" s="62">
        <v>0</v>
      </c>
      <c r="AY88" s="62"/>
    </row>
    <row r="89" spans="4:51" s="66" customFormat="1">
      <c r="D89" s="75"/>
      <c r="E89" s="76"/>
      <c r="F89" s="63"/>
      <c r="G89" s="63"/>
      <c r="H89" s="138"/>
      <c r="I89" s="138"/>
      <c r="J89" s="138"/>
      <c r="K89" s="138"/>
      <c r="L89" s="138"/>
      <c r="M89" s="138"/>
      <c r="N89" s="141"/>
      <c r="O89" s="141"/>
      <c r="P89" s="140"/>
      <c r="Q89" s="84"/>
      <c r="R89" s="84"/>
      <c r="S89" s="84"/>
      <c r="T89" s="84"/>
      <c r="U89" s="84"/>
      <c r="AK89" s="66" t="s">
        <v>293</v>
      </c>
      <c r="AL89" s="66">
        <v>130</v>
      </c>
      <c r="AN89" s="62">
        <v>125</v>
      </c>
      <c r="AO89" s="62">
        <v>133.25</v>
      </c>
      <c r="AP89" s="62">
        <v>190.28</v>
      </c>
      <c r="AQ89" s="62">
        <v>247</v>
      </c>
      <c r="AR89" s="62">
        <v>286.18</v>
      </c>
      <c r="AS89" s="62">
        <v>298.66000000000003</v>
      </c>
      <c r="AT89" s="62">
        <v>0</v>
      </c>
      <c r="AU89" s="62">
        <v>0</v>
      </c>
      <c r="AV89" s="62">
        <v>0</v>
      </c>
      <c r="AW89" s="62">
        <v>0</v>
      </c>
      <c r="AX89" s="62">
        <v>0</v>
      </c>
      <c r="AY89" s="62"/>
    </row>
    <row r="90" spans="4:51" s="66" customFormat="1">
      <c r="D90" s="75"/>
      <c r="E90" s="76"/>
      <c r="F90" s="63"/>
      <c r="G90" s="63"/>
      <c r="H90" s="138"/>
      <c r="I90" s="138"/>
      <c r="J90" s="138"/>
      <c r="K90" s="138"/>
      <c r="L90" s="138"/>
      <c r="M90" s="138"/>
      <c r="N90" s="141"/>
      <c r="O90" s="141"/>
      <c r="P90" s="140"/>
      <c r="Q90" s="84"/>
      <c r="R90" s="84"/>
      <c r="S90" s="84"/>
      <c r="T90" s="84"/>
      <c r="U90" s="84"/>
      <c r="AK90" s="66" t="s">
        <v>294</v>
      </c>
      <c r="AL90" s="66">
        <v>135</v>
      </c>
      <c r="AN90" s="62">
        <v>130</v>
      </c>
      <c r="AO90" s="62">
        <v>137.31</v>
      </c>
      <c r="AP90" s="62">
        <v>196.59</v>
      </c>
      <c r="AQ90" s="62">
        <v>254.68</v>
      </c>
      <c r="AR90" s="62">
        <v>295.23</v>
      </c>
      <c r="AS90" s="62">
        <v>308.35000000000002</v>
      </c>
      <c r="AT90" s="62">
        <v>0</v>
      </c>
      <c r="AU90" s="62">
        <v>0</v>
      </c>
      <c r="AV90" s="62">
        <v>0</v>
      </c>
      <c r="AW90" s="62">
        <v>0</v>
      </c>
      <c r="AX90" s="62">
        <v>0</v>
      </c>
      <c r="AY90" s="62"/>
    </row>
    <row r="91" spans="4:51" s="66" customFormat="1">
      <c r="D91" s="75"/>
      <c r="E91" s="76"/>
      <c r="F91" s="63"/>
      <c r="G91" s="63"/>
      <c r="H91" s="152"/>
      <c r="I91" s="152"/>
      <c r="J91" s="152"/>
      <c r="K91" s="152"/>
      <c r="L91" s="152"/>
      <c r="M91" s="138"/>
      <c r="N91" s="141"/>
      <c r="O91" s="141"/>
      <c r="P91" s="140"/>
      <c r="Q91" s="84"/>
      <c r="R91" s="84"/>
      <c r="S91" s="84"/>
      <c r="T91" s="84"/>
      <c r="U91" s="84"/>
      <c r="AK91" s="66" t="s">
        <v>295</v>
      </c>
      <c r="AL91" s="66">
        <v>140</v>
      </c>
      <c r="AN91" s="62">
        <v>135</v>
      </c>
      <c r="AO91" s="62">
        <v>141.36000000000001</v>
      </c>
      <c r="AP91" s="62">
        <v>202.91</v>
      </c>
      <c r="AQ91" s="62">
        <v>262.33999999999997</v>
      </c>
      <c r="AR91" s="62">
        <v>304.26</v>
      </c>
      <c r="AS91" s="62">
        <v>317.98</v>
      </c>
      <c r="AT91" s="62">
        <v>0</v>
      </c>
      <c r="AU91" s="62">
        <v>0</v>
      </c>
      <c r="AV91" s="62">
        <v>0</v>
      </c>
      <c r="AW91" s="62">
        <v>0</v>
      </c>
      <c r="AX91" s="62">
        <v>0</v>
      </c>
      <c r="AY91" s="62"/>
    </row>
    <row r="92" spans="4:51" s="66" customFormat="1">
      <c r="D92" s="75"/>
      <c r="E92" s="76"/>
      <c r="M92" s="138"/>
      <c r="N92" s="141"/>
      <c r="O92" s="141"/>
      <c r="P92" s="140"/>
      <c r="Q92" s="84"/>
      <c r="R92" s="84"/>
      <c r="S92" s="84"/>
      <c r="T92" s="84"/>
      <c r="U92" s="84"/>
      <c r="AK92" s="66" t="s">
        <v>296</v>
      </c>
      <c r="AL92" s="66">
        <v>145</v>
      </c>
      <c r="AN92" s="62">
        <v>140</v>
      </c>
      <c r="AO92" s="62">
        <v>145.41999999999999</v>
      </c>
      <c r="AP92" s="62">
        <v>209.23</v>
      </c>
      <c r="AQ92" s="62">
        <v>270.02999999999997</v>
      </c>
      <c r="AR92" s="62">
        <v>313.33</v>
      </c>
      <c r="AS92" s="62">
        <v>327.64</v>
      </c>
      <c r="AT92" s="62">
        <v>0</v>
      </c>
      <c r="AU92" s="62">
        <v>0</v>
      </c>
      <c r="AV92" s="62">
        <v>0</v>
      </c>
      <c r="AW92" s="62">
        <v>0</v>
      </c>
      <c r="AX92" s="62">
        <v>0</v>
      </c>
      <c r="AY92" s="62"/>
    </row>
    <row r="93" spans="4:51" s="66" customFormat="1">
      <c r="D93" s="75"/>
      <c r="E93" s="76"/>
      <c r="M93" s="138"/>
      <c r="N93" s="141"/>
      <c r="O93" s="141"/>
      <c r="P93" s="140"/>
      <c r="Q93" s="84"/>
      <c r="R93" s="84"/>
      <c r="S93" s="84"/>
      <c r="T93" s="84"/>
      <c r="U93" s="84"/>
      <c r="AK93" s="66" t="s">
        <v>297</v>
      </c>
      <c r="AL93" s="66">
        <v>150</v>
      </c>
      <c r="AN93" s="62">
        <v>145</v>
      </c>
      <c r="AO93" s="62">
        <v>149.47</v>
      </c>
      <c r="AP93" s="62">
        <v>215.56</v>
      </c>
      <c r="AQ93" s="62">
        <v>277.73</v>
      </c>
      <c r="AR93" s="62">
        <v>322.36</v>
      </c>
      <c r="AS93" s="62">
        <v>337.31</v>
      </c>
      <c r="AT93" s="62">
        <v>0</v>
      </c>
      <c r="AU93" s="62">
        <v>0</v>
      </c>
      <c r="AV93" s="62">
        <v>0</v>
      </c>
      <c r="AW93" s="62">
        <v>0</v>
      </c>
      <c r="AX93" s="62">
        <v>0</v>
      </c>
      <c r="AY93" s="62"/>
    </row>
    <row r="94" spans="4:51" s="66" customFormat="1">
      <c r="D94" s="75"/>
      <c r="E94" s="76"/>
      <c r="M94" s="138"/>
      <c r="N94" s="141"/>
      <c r="O94" s="141"/>
      <c r="P94" s="140"/>
      <c r="Q94" s="84"/>
      <c r="R94" s="84"/>
      <c r="S94" s="84"/>
      <c r="T94" s="84"/>
      <c r="U94" s="84"/>
      <c r="AK94" s="66" t="s">
        <v>298</v>
      </c>
      <c r="AL94" s="66">
        <v>155</v>
      </c>
      <c r="AN94" s="62">
        <v>150</v>
      </c>
      <c r="AO94" s="62">
        <v>153.52000000000001</v>
      </c>
      <c r="AP94" s="62">
        <v>221.85</v>
      </c>
      <c r="AQ94" s="62">
        <v>285.41000000000003</v>
      </c>
      <c r="AR94" s="62">
        <v>331.4</v>
      </c>
      <c r="AS94" s="62">
        <v>346.97</v>
      </c>
      <c r="AT94" s="62">
        <v>0</v>
      </c>
      <c r="AU94" s="62">
        <v>0</v>
      </c>
      <c r="AV94" s="62">
        <v>0</v>
      </c>
      <c r="AW94" s="62">
        <v>0</v>
      </c>
      <c r="AX94" s="62">
        <v>0</v>
      </c>
      <c r="AY94" s="62"/>
    </row>
    <row r="95" spans="4:51" s="66" customFormat="1">
      <c r="D95" s="75"/>
      <c r="E95" s="76"/>
      <c r="M95" s="138"/>
      <c r="N95" s="141"/>
      <c r="O95" s="141"/>
      <c r="P95" s="140"/>
      <c r="Q95" s="84"/>
      <c r="R95" s="84"/>
      <c r="S95" s="84"/>
      <c r="T95" s="84"/>
      <c r="U95" s="84"/>
      <c r="AK95" s="66" t="s">
        <v>299</v>
      </c>
      <c r="AL95" s="66">
        <v>160</v>
      </c>
      <c r="AN95" s="62">
        <v>155</v>
      </c>
      <c r="AO95" s="62">
        <v>160.62</v>
      </c>
      <c r="AP95" s="62">
        <v>232.55</v>
      </c>
      <c r="AQ95" s="62">
        <v>298.73</v>
      </c>
      <c r="AR95" s="62">
        <v>347</v>
      </c>
      <c r="AS95" s="62">
        <v>363.51</v>
      </c>
      <c r="AT95" s="62">
        <v>0</v>
      </c>
      <c r="AU95" s="62">
        <v>0</v>
      </c>
      <c r="AV95" s="62">
        <v>0</v>
      </c>
      <c r="AW95" s="62">
        <v>0</v>
      </c>
      <c r="AX95" s="62">
        <v>0</v>
      </c>
      <c r="AY95" s="62"/>
    </row>
    <row r="96" spans="4:51" s="66" customFormat="1">
      <c r="D96" s="75"/>
      <c r="E96" s="76"/>
      <c r="M96" s="138"/>
      <c r="N96" s="141"/>
      <c r="O96" s="141"/>
      <c r="P96" s="140"/>
      <c r="Q96" s="84"/>
      <c r="R96" s="84"/>
      <c r="S96" s="84"/>
      <c r="T96" s="84"/>
      <c r="U96" s="84"/>
      <c r="AK96" s="66" t="s">
        <v>300</v>
      </c>
      <c r="AL96" s="66">
        <v>165</v>
      </c>
      <c r="AN96" s="62">
        <v>160</v>
      </c>
      <c r="AO96" s="62">
        <v>164.75</v>
      </c>
      <c r="AP96" s="62">
        <v>238.99</v>
      </c>
      <c r="AQ96" s="62">
        <v>306.56</v>
      </c>
      <c r="AR96" s="62">
        <v>356.24</v>
      </c>
      <c r="AS96" s="62">
        <v>373.35</v>
      </c>
      <c r="AT96" s="62">
        <v>0</v>
      </c>
      <c r="AU96" s="62">
        <v>0</v>
      </c>
      <c r="AV96" s="62">
        <v>0</v>
      </c>
      <c r="AW96" s="62">
        <v>0</v>
      </c>
      <c r="AX96" s="62">
        <v>0</v>
      </c>
      <c r="AY96" s="62"/>
    </row>
    <row r="97" spans="4:53" s="66" customFormat="1">
      <c r="D97" s="75"/>
      <c r="E97" s="76"/>
      <c r="M97" s="138"/>
      <c r="N97" s="141"/>
      <c r="O97" s="141"/>
      <c r="P97" s="84"/>
      <c r="Q97" s="84"/>
      <c r="R97" s="84"/>
      <c r="S97" s="84"/>
      <c r="T97" s="84"/>
      <c r="U97" s="84"/>
      <c r="AK97" s="66" t="s">
        <v>301</v>
      </c>
      <c r="AL97" s="66">
        <v>170</v>
      </c>
      <c r="AN97" s="62">
        <v>165</v>
      </c>
      <c r="AO97" s="62">
        <v>168.88</v>
      </c>
      <c r="AP97" s="62">
        <v>245.42</v>
      </c>
      <c r="AQ97" s="62">
        <v>314.43</v>
      </c>
      <c r="AR97" s="62">
        <v>365.44</v>
      </c>
      <c r="AS97" s="62">
        <v>383.19</v>
      </c>
      <c r="AT97" s="62">
        <v>0</v>
      </c>
      <c r="AU97" s="62">
        <v>0</v>
      </c>
      <c r="AV97" s="62">
        <v>0</v>
      </c>
      <c r="AW97" s="62">
        <v>0</v>
      </c>
      <c r="AX97" s="62">
        <v>0</v>
      </c>
      <c r="AY97" s="62"/>
    </row>
    <row r="98" spans="4:53" s="66" customFormat="1">
      <c r="D98" s="75"/>
      <c r="E98" s="76"/>
      <c r="M98" s="138"/>
      <c r="N98" s="141"/>
      <c r="O98" s="141"/>
      <c r="P98" s="84"/>
      <c r="Q98" s="84"/>
      <c r="R98" s="84"/>
      <c r="S98" s="84"/>
      <c r="T98" s="84"/>
      <c r="U98" s="84"/>
      <c r="AK98" s="66" t="s">
        <v>302</v>
      </c>
      <c r="AL98" s="66">
        <v>175</v>
      </c>
      <c r="AN98" s="62">
        <v>170</v>
      </c>
      <c r="AO98" s="62">
        <v>173.01</v>
      </c>
      <c r="AP98" s="62">
        <v>251.88</v>
      </c>
      <c r="AQ98" s="62">
        <v>322.22000000000003</v>
      </c>
      <c r="AR98" s="62">
        <v>374.66</v>
      </c>
      <c r="AS98" s="62">
        <v>393.03</v>
      </c>
      <c r="AT98" s="62">
        <v>0</v>
      </c>
      <c r="AU98" s="62">
        <v>0</v>
      </c>
      <c r="AV98" s="62">
        <v>0</v>
      </c>
      <c r="AW98" s="62">
        <v>0</v>
      </c>
      <c r="AX98" s="62">
        <v>0</v>
      </c>
      <c r="AY98" s="62"/>
    </row>
    <row r="99" spans="4:53" s="106" customFormat="1">
      <c r="D99" s="153"/>
      <c r="E99" s="154"/>
      <c r="F99" s="66"/>
      <c r="G99" s="66"/>
      <c r="H99" s="66"/>
      <c r="I99" s="66"/>
      <c r="J99" s="66"/>
      <c r="K99" s="66"/>
      <c r="L99" s="66"/>
      <c r="M99" s="152"/>
      <c r="N99" s="155"/>
      <c r="O99" s="155"/>
      <c r="P99" s="156"/>
      <c r="Q99" s="156"/>
      <c r="R99" s="156"/>
      <c r="S99" s="156"/>
      <c r="T99" s="156"/>
      <c r="U99" s="63"/>
      <c r="V99" s="63"/>
      <c r="W99" s="63"/>
      <c r="X99" s="63"/>
      <c r="Y99" s="63"/>
      <c r="Z99" s="63"/>
      <c r="AA99" s="63"/>
      <c r="AB99" s="63"/>
      <c r="AC99" s="63"/>
      <c r="AD99" s="63"/>
      <c r="AE99" s="63"/>
      <c r="AF99" s="63"/>
      <c r="AG99" s="63"/>
      <c r="AK99" s="106" t="s">
        <v>303</v>
      </c>
      <c r="AL99" s="106">
        <v>180</v>
      </c>
      <c r="AN99" s="62">
        <v>175</v>
      </c>
      <c r="AO99" s="62">
        <v>177.16</v>
      </c>
      <c r="AP99" s="62">
        <v>258.32</v>
      </c>
      <c r="AQ99" s="62">
        <v>330.07</v>
      </c>
      <c r="AR99" s="62">
        <v>383.86</v>
      </c>
      <c r="AS99" s="62">
        <v>402.9</v>
      </c>
      <c r="AT99" s="62">
        <v>0</v>
      </c>
      <c r="AU99" s="62">
        <v>0</v>
      </c>
      <c r="AV99" s="62">
        <v>0</v>
      </c>
      <c r="AW99" s="62">
        <v>0</v>
      </c>
      <c r="AX99" s="62">
        <v>0</v>
      </c>
      <c r="AY99" s="62"/>
      <c r="AZ99" s="66"/>
      <c r="BA99" s="66"/>
    </row>
    <row r="100" spans="4:53" s="66" customFormat="1">
      <c r="D100" s="75"/>
      <c r="E100" s="76"/>
      <c r="AG100" s="62"/>
      <c r="AK100" s="66" t="s">
        <v>304</v>
      </c>
      <c r="AL100" s="66">
        <v>185</v>
      </c>
      <c r="AN100" s="62">
        <v>180</v>
      </c>
      <c r="AO100" s="62">
        <v>181.29</v>
      </c>
      <c r="AP100" s="62">
        <v>264.74</v>
      </c>
      <c r="AQ100" s="62">
        <v>337.91</v>
      </c>
      <c r="AR100" s="62">
        <v>393.09</v>
      </c>
      <c r="AS100" s="62">
        <v>412.75</v>
      </c>
      <c r="AT100" s="62">
        <v>0</v>
      </c>
      <c r="AU100" s="62">
        <v>0</v>
      </c>
      <c r="AV100" s="62">
        <v>0</v>
      </c>
      <c r="AW100" s="62">
        <v>0</v>
      </c>
      <c r="AX100" s="62">
        <v>0</v>
      </c>
      <c r="AY100" s="62"/>
    </row>
    <row r="101" spans="4:53" s="66" customFormat="1">
      <c r="D101" s="75"/>
      <c r="E101" s="76"/>
      <c r="AG101" s="62"/>
      <c r="AK101" s="66" t="s">
        <v>305</v>
      </c>
      <c r="AL101" s="66">
        <v>190</v>
      </c>
      <c r="AN101" s="62">
        <v>185</v>
      </c>
      <c r="AO101" s="62">
        <v>185.42</v>
      </c>
      <c r="AP101" s="62">
        <v>271.18</v>
      </c>
      <c r="AQ101" s="62">
        <v>345.75</v>
      </c>
      <c r="AR101" s="62">
        <v>402.32</v>
      </c>
      <c r="AS101" s="62">
        <v>422.58</v>
      </c>
      <c r="AT101" s="62">
        <v>0</v>
      </c>
      <c r="AU101" s="62">
        <v>0</v>
      </c>
      <c r="AV101" s="62">
        <v>0</v>
      </c>
      <c r="AW101" s="62">
        <v>0</v>
      </c>
      <c r="AX101" s="62">
        <v>0</v>
      </c>
      <c r="AY101" s="62"/>
    </row>
    <row r="102" spans="4:53" s="66" customFormat="1">
      <c r="D102" s="75"/>
      <c r="E102" s="76"/>
      <c r="AG102" s="62"/>
      <c r="AK102" s="66" t="s">
        <v>306</v>
      </c>
      <c r="AL102" s="66">
        <v>195</v>
      </c>
      <c r="AN102" s="62">
        <v>190</v>
      </c>
      <c r="AO102" s="62">
        <v>189.55</v>
      </c>
      <c r="AP102" s="62">
        <v>277.64</v>
      </c>
      <c r="AQ102" s="62">
        <v>353.57</v>
      </c>
      <c r="AR102" s="62">
        <v>411.53</v>
      </c>
      <c r="AS102" s="62">
        <v>432.44</v>
      </c>
      <c r="AT102" s="62">
        <v>0</v>
      </c>
      <c r="AU102" s="62">
        <v>0</v>
      </c>
      <c r="AV102" s="62">
        <v>0</v>
      </c>
      <c r="AW102" s="62">
        <v>0</v>
      </c>
      <c r="AX102" s="62">
        <v>0</v>
      </c>
      <c r="AY102" s="62"/>
    </row>
    <row r="103" spans="4:53" s="66" customFormat="1">
      <c r="D103" s="75"/>
      <c r="E103" s="76"/>
      <c r="AG103" s="62"/>
      <c r="AK103" s="66" t="s">
        <v>307</v>
      </c>
      <c r="AL103" s="66">
        <v>200</v>
      </c>
      <c r="AN103" s="62">
        <v>195</v>
      </c>
      <c r="AO103" s="62">
        <v>193.69</v>
      </c>
      <c r="AP103" s="62">
        <v>284.06</v>
      </c>
      <c r="AQ103" s="62">
        <v>361.4</v>
      </c>
      <c r="AR103" s="62">
        <v>420.73</v>
      </c>
      <c r="AS103" s="62">
        <v>442.29</v>
      </c>
      <c r="AT103" s="62">
        <v>0</v>
      </c>
      <c r="AU103" s="62">
        <v>0</v>
      </c>
      <c r="AV103" s="62">
        <v>0</v>
      </c>
      <c r="AW103" s="62">
        <v>0</v>
      </c>
      <c r="AX103" s="62">
        <v>0</v>
      </c>
      <c r="AY103" s="62"/>
    </row>
    <row r="104" spans="4:53" s="66" customFormat="1">
      <c r="D104" s="75"/>
      <c r="E104" s="76"/>
      <c r="AG104" s="62"/>
      <c r="AK104" s="66" t="s">
        <v>308</v>
      </c>
      <c r="AL104" s="66">
        <v>205</v>
      </c>
      <c r="AN104" s="62">
        <v>200</v>
      </c>
      <c r="AO104" s="62">
        <v>197.79</v>
      </c>
      <c r="AP104" s="62">
        <v>290.5</v>
      </c>
      <c r="AQ104" s="62">
        <v>369.25</v>
      </c>
      <c r="AR104" s="62">
        <v>429.96</v>
      </c>
      <c r="AS104" s="62">
        <v>452.12</v>
      </c>
      <c r="AT104" s="62">
        <v>0</v>
      </c>
      <c r="AU104" s="62">
        <v>0</v>
      </c>
      <c r="AV104" s="62">
        <v>0</v>
      </c>
      <c r="AW104" s="62">
        <v>0</v>
      </c>
      <c r="AX104" s="62">
        <v>0</v>
      </c>
      <c r="AY104" s="62"/>
    </row>
    <row r="105" spans="4:53" s="66" customFormat="1">
      <c r="D105" s="75"/>
      <c r="E105" s="76"/>
      <c r="AG105" s="62"/>
      <c r="AK105" s="66" t="s">
        <v>309</v>
      </c>
      <c r="AL105" s="66">
        <v>210</v>
      </c>
      <c r="AN105" s="62">
        <v>205</v>
      </c>
      <c r="AO105" s="62">
        <v>201.95</v>
      </c>
      <c r="AP105" s="62">
        <v>296.95</v>
      </c>
      <c r="AQ105" s="62">
        <v>377.05</v>
      </c>
      <c r="AR105" s="62">
        <v>439.18</v>
      </c>
      <c r="AS105" s="62">
        <v>461.98</v>
      </c>
      <c r="AT105" s="62">
        <v>0</v>
      </c>
      <c r="AU105" s="62">
        <v>0</v>
      </c>
      <c r="AV105" s="62">
        <v>0</v>
      </c>
      <c r="AW105" s="62">
        <v>0</v>
      </c>
      <c r="AX105" s="62">
        <v>0</v>
      </c>
      <c r="AY105" s="62"/>
    </row>
    <row r="106" spans="4:53" s="66" customFormat="1">
      <c r="D106" s="75"/>
      <c r="E106" s="76"/>
      <c r="AG106" s="62"/>
      <c r="AK106" s="66" t="s">
        <v>310</v>
      </c>
      <c r="AL106" s="66">
        <v>215</v>
      </c>
      <c r="AN106" s="62">
        <v>210</v>
      </c>
      <c r="AO106" s="62">
        <v>206.09</v>
      </c>
      <c r="AP106" s="62">
        <v>303.37</v>
      </c>
      <c r="AQ106" s="62">
        <v>384.9</v>
      </c>
      <c r="AR106" s="62">
        <v>448.42</v>
      </c>
      <c r="AS106" s="62">
        <v>471.82</v>
      </c>
      <c r="AT106" s="62">
        <v>0</v>
      </c>
      <c r="AU106" s="62">
        <v>0</v>
      </c>
      <c r="AV106" s="62">
        <v>0</v>
      </c>
      <c r="AW106" s="62">
        <v>0</v>
      </c>
      <c r="AX106" s="62">
        <v>0</v>
      </c>
      <c r="AY106" s="62"/>
    </row>
    <row r="107" spans="4:53" s="66" customFormat="1">
      <c r="D107" s="75"/>
      <c r="E107" s="76"/>
      <c r="AG107" s="62"/>
      <c r="AK107" s="66" t="s">
        <v>311</v>
      </c>
      <c r="AL107" s="66">
        <v>220</v>
      </c>
      <c r="AN107" s="62">
        <v>215</v>
      </c>
      <c r="AO107" s="62">
        <v>210.23</v>
      </c>
      <c r="AP107" s="62">
        <v>309.8</v>
      </c>
      <c r="AQ107" s="62">
        <v>392.74</v>
      </c>
      <c r="AR107" s="62">
        <v>457.62</v>
      </c>
      <c r="AS107" s="62">
        <v>481.65</v>
      </c>
      <c r="AT107" s="62">
        <v>0</v>
      </c>
      <c r="AU107" s="62">
        <v>0</v>
      </c>
      <c r="AV107" s="62">
        <v>0</v>
      </c>
      <c r="AW107" s="62">
        <v>0</v>
      </c>
      <c r="AX107" s="62">
        <v>0</v>
      </c>
      <c r="AY107" s="62"/>
    </row>
    <row r="108" spans="4:53" s="66" customFormat="1">
      <c r="D108" s="75"/>
      <c r="E108" s="76"/>
      <c r="AG108" s="62"/>
      <c r="AK108" s="66" t="s">
        <v>312</v>
      </c>
      <c r="AL108" s="66">
        <v>225</v>
      </c>
      <c r="AN108" s="62">
        <v>220</v>
      </c>
      <c r="AO108" s="62">
        <v>214.33</v>
      </c>
      <c r="AP108" s="62">
        <v>316.24</v>
      </c>
      <c r="AQ108" s="62">
        <v>400.57</v>
      </c>
      <c r="AR108" s="62">
        <v>466.83</v>
      </c>
      <c r="AS108" s="62">
        <v>491.51</v>
      </c>
      <c r="AT108" s="62">
        <v>0</v>
      </c>
      <c r="AU108" s="62">
        <v>0</v>
      </c>
      <c r="AV108" s="62">
        <v>0</v>
      </c>
      <c r="AW108" s="62">
        <v>0</v>
      </c>
      <c r="AX108" s="62">
        <v>0</v>
      </c>
      <c r="AY108" s="62"/>
    </row>
    <row r="109" spans="4:53" s="66" customFormat="1">
      <c r="D109" s="75"/>
      <c r="E109" s="76"/>
      <c r="AG109" s="62"/>
      <c r="AK109" s="66" t="s">
        <v>313</v>
      </c>
      <c r="AL109" s="66">
        <v>230</v>
      </c>
      <c r="AN109" s="62">
        <v>225</v>
      </c>
      <c r="AO109" s="62">
        <v>218.48</v>
      </c>
      <c r="AP109" s="62">
        <v>322.69</v>
      </c>
      <c r="AQ109" s="62">
        <v>408.4</v>
      </c>
      <c r="AR109" s="62">
        <v>476.04</v>
      </c>
      <c r="AS109" s="62">
        <v>501.35</v>
      </c>
      <c r="AT109" s="62">
        <v>0</v>
      </c>
      <c r="AU109" s="62">
        <v>0</v>
      </c>
      <c r="AV109" s="62">
        <v>0</v>
      </c>
      <c r="AW109" s="62">
        <v>0</v>
      </c>
      <c r="AX109" s="62">
        <v>0</v>
      </c>
      <c r="AY109" s="62"/>
    </row>
    <row r="110" spans="4:53" s="66" customFormat="1">
      <c r="D110" s="75"/>
      <c r="E110" s="76"/>
      <c r="AG110" s="62"/>
      <c r="AK110" s="66" t="s">
        <v>314</v>
      </c>
      <c r="AL110" s="66">
        <v>235</v>
      </c>
      <c r="AN110" s="62">
        <v>230</v>
      </c>
      <c r="AO110" s="62">
        <v>222.62</v>
      </c>
      <c r="AP110" s="62">
        <v>329.14</v>
      </c>
      <c r="AQ110" s="62">
        <v>416.24</v>
      </c>
      <c r="AR110" s="62">
        <v>485.26</v>
      </c>
      <c r="AS110" s="62">
        <v>511.2</v>
      </c>
      <c r="AT110" s="62">
        <v>0</v>
      </c>
      <c r="AU110" s="62">
        <v>0</v>
      </c>
      <c r="AV110" s="62">
        <v>0</v>
      </c>
      <c r="AW110" s="62">
        <v>0</v>
      </c>
      <c r="AX110" s="62">
        <v>0</v>
      </c>
      <c r="AY110" s="62"/>
    </row>
    <row r="111" spans="4:53" s="66" customFormat="1">
      <c r="D111" s="75"/>
      <c r="E111" s="76"/>
      <c r="AG111" s="62"/>
      <c r="AK111" s="66" t="s">
        <v>315</v>
      </c>
      <c r="AL111" s="66">
        <v>240</v>
      </c>
      <c r="AN111" s="62">
        <v>235</v>
      </c>
      <c r="AO111" s="62">
        <v>226.73</v>
      </c>
      <c r="AP111" s="62">
        <v>335.55</v>
      </c>
      <c r="AQ111" s="62">
        <v>424.06</v>
      </c>
      <c r="AR111" s="62">
        <v>494.5</v>
      </c>
      <c r="AS111" s="62">
        <v>521.04</v>
      </c>
      <c r="AT111" s="62">
        <v>0</v>
      </c>
      <c r="AU111" s="62">
        <v>0</v>
      </c>
      <c r="AV111" s="62">
        <v>0</v>
      </c>
      <c r="AW111" s="62">
        <v>0</v>
      </c>
      <c r="AX111" s="62">
        <v>0</v>
      </c>
      <c r="AY111" s="62"/>
    </row>
    <row r="112" spans="4:53" s="66" customFormat="1">
      <c r="D112" s="75"/>
      <c r="E112" s="76"/>
      <c r="AG112" s="62"/>
      <c r="AK112" s="66" t="s">
        <v>316</v>
      </c>
      <c r="AL112" s="66">
        <v>245</v>
      </c>
      <c r="AN112" s="62">
        <v>240</v>
      </c>
      <c r="AO112" s="62">
        <v>230.9</v>
      </c>
      <c r="AP112" s="62">
        <v>342.01</v>
      </c>
      <c r="AQ112" s="62">
        <v>431.92</v>
      </c>
      <c r="AR112" s="62">
        <v>503.7</v>
      </c>
      <c r="AS112" s="62">
        <v>530.89</v>
      </c>
      <c r="AT112" s="62">
        <v>0</v>
      </c>
      <c r="AU112" s="62">
        <v>0</v>
      </c>
      <c r="AV112" s="62">
        <v>0</v>
      </c>
      <c r="AW112" s="62">
        <v>0</v>
      </c>
      <c r="AX112" s="62">
        <v>0</v>
      </c>
      <c r="AY112" s="62"/>
    </row>
    <row r="113" spans="4:51" s="66" customFormat="1">
      <c r="D113" s="75"/>
      <c r="E113" s="76"/>
      <c r="AG113" s="62"/>
      <c r="AK113" s="66" t="s">
        <v>317</v>
      </c>
      <c r="AL113" s="66">
        <v>250</v>
      </c>
      <c r="AN113" s="62">
        <v>245</v>
      </c>
      <c r="AO113" s="62">
        <v>235.02</v>
      </c>
      <c r="AP113" s="62">
        <v>348.45</v>
      </c>
      <c r="AQ113" s="62">
        <v>439.72</v>
      </c>
      <c r="AR113" s="62">
        <v>512.91999999999996</v>
      </c>
      <c r="AS113" s="62">
        <v>540.75</v>
      </c>
      <c r="AT113" s="62">
        <v>0</v>
      </c>
      <c r="AU113" s="62">
        <v>0</v>
      </c>
      <c r="AV113" s="62">
        <v>0</v>
      </c>
      <c r="AW113" s="62">
        <v>0</v>
      </c>
      <c r="AX113" s="62">
        <v>0</v>
      </c>
      <c r="AY113" s="62"/>
    </row>
    <row r="114" spans="4:51" s="66" customFormat="1">
      <c r="D114" s="75"/>
      <c r="E114" s="76"/>
      <c r="AG114" s="62"/>
      <c r="AK114" s="66" t="s">
        <v>318</v>
      </c>
      <c r="AL114" s="66">
        <v>255</v>
      </c>
      <c r="AN114" s="62">
        <v>250</v>
      </c>
      <c r="AO114" s="62">
        <v>239.15</v>
      </c>
      <c r="AP114" s="62">
        <v>354.87</v>
      </c>
      <c r="AQ114" s="62">
        <v>447.58</v>
      </c>
      <c r="AR114" s="62">
        <v>522.14</v>
      </c>
      <c r="AS114" s="62">
        <v>550.59</v>
      </c>
      <c r="AT114" s="62">
        <v>0</v>
      </c>
      <c r="AU114" s="62">
        <v>0</v>
      </c>
      <c r="AV114" s="62">
        <v>0</v>
      </c>
      <c r="AW114" s="62">
        <v>0</v>
      </c>
      <c r="AX114" s="62">
        <v>0</v>
      </c>
      <c r="AY114" s="62"/>
    </row>
    <row r="115" spans="4:51" s="66" customFormat="1">
      <c r="D115" s="75"/>
      <c r="E115" s="76"/>
      <c r="AG115" s="62"/>
      <c r="AK115" s="66" t="s">
        <v>319</v>
      </c>
      <c r="AL115" s="66">
        <v>260</v>
      </c>
      <c r="AN115" s="62">
        <v>255</v>
      </c>
      <c r="AO115" s="62">
        <v>243.27</v>
      </c>
      <c r="AP115" s="62">
        <v>361.32</v>
      </c>
      <c r="AQ115" s="62">
        <v>455.41</v>
      </c>
      <c r="AR115" s="62">
        <v>531.35</v>
      </c>
      <c r="AS115" s="62">
        <v>560.42999999999995</v>
      </c>
      <c r="AT115" s="62">
        <v>0</v>
      </c>
      <c r="AU115" s="62">
        <v>0</v>
      </c>
      <c r="AV115" s="62">
        <v>0</v>
      </c>
      <c r="AW115" s="62">
        <v>0</v>
      </c>
      <c r="AX115" s="62">
        <v>0</v>
      </c>
      <c r="AY115" s="62"/>
    </row>
    <row r="116" spans="4:51" s="66" customFormat="1">
      <c r="D116" s="75"/>
      <c r="E116" s="76"/>
      <c r="AG116" s="62"/>
      <c r="AK116" s="66" t="s">
        <v>320</v>
      </c>
      <c r="AL116" s="66">
        <v>265</v>
      </c>
      <c r="AN116" s="62">
        <v>260</v>
      </c>
      <c r="AO116" s="62">
        <v>247.43</v>
      </c>
      <c r="AP116" s="62">
        <v>367.75</v>
      </c>
      <c r="AQ116" s="62">
        <v>463.23</v>
      </c>
      <c r="AR116" s="62">
        <v>540.58000000000004</v>
      </c>
      <c r="AS116" s="62">
        <v>570.29</v>
      </c>
      <c r="AT116" s="62">
        <v>0</v>
      </c>
      <c r="AU116" s="62">
        <v>0</v>
      </c>
      <c r="AV116" s="62">
        <v>0</v>
      </c>
      <c r="AW116" s="62">
        <v>0</v>
      </c>
      <c r="AX116" s="62">
        <v>0</v>
      </c>
      <c r="AY116" s="62"/>
    </row>
    <row r="117" spans="4:51" s="66" customFormat="1">
      <c r="D117" s="75"/>
      <c r="E117" s="76"/>
      <c r="AG117" s="62"/>
      <c r="AK117" s="66" t="s">
        <v>321</v>
      </c>
      <c r="AL117" s="66">
        <v>270</v>
      </c>
      <c r="AN117" s="62">
        <v>265</v>
      </c>
      <c r="AO117" s="62">
        <v>251.54</v>
      </c>
      <c r="AP117" s="62">
        <v>374.19</v>
      </c>
      <c r="AQ117" s="62">
        <v>471.06</v>
      </c>
      <c r="AR117" s="62">
        <v>549.79999999999995</v>
      </c>
      <c r="AS117" s="62">
        <v>580.14</v>
      </c>
      <c r="AT117" s="62">
        <v>0</v>
      </c>
      <c r="AU117" s="62">
        <v>0</v>
      </c>
      <c r="AV117" s="62">
        <v>0</v>
      </c>
      <c r="AW117" s="62">
        <v>0</v>
      </c>
      <c r="AX117" s="62">
        <v>0</v>
      </c>
      <c r="AY117" s="62"/>
    </row>
    <row r="118" spans="4:51" s="66" customFormat="1">
      <c r="D118" s="75"/>
      <c r="E118" s="76"/>
      <c r="AG118" s="62"/>
      <c r="AK118" s="66" t="s">
        <v>322</v>
      </c>
      <c r="AL118" s="66">
        <v>275</v>
      </c>
      <c r="AN118" s="62">
        <v>270</v>
      </c>
      <c r="AO118" s="62">
        <v>255.67</v>
      </c>
      <c r="AP118" s="62">
        <v>380.64</v>
      </c>
      <c r="AQ118" s="62">
        <v>478.89</v>
      </c>
      <c r="AR118" s="62">
        <v>559.01</v>
      </c>
      <c r="AS118" s="62">
        <v>589.96</v>
      </c>
      <c r="AT118" s="62">
        <v>0</v>
      </c>
      <c r="AU118" s="62">
        <v>0</v>
      </c>
      <c r="AV118" s="62">
        <v>0</v>
      </c>
      <c r="AW118" s="62">
        <v>0</v>
      </c>
      <c r="AX118" s="62">
        <v>0</v>
      </c>
      <c r="AY118" s="62"/>
    </row>
    <row r="119" spans="4:51" s="66" customFormat="1">
      <c r="D119" s="75"/>
      <c r="E119" s="76"/>
      <c r="AG119" s="62"/>
      <c r="AK119" s="66" t="s">
        <v>323</v>
      </c>
      <c r="AL119" s="66">
        <v>280</v>
      </c>
      <c r="AN119" s="62">
        <v>275</v>
      </c>
      <c r="AO119" s="62">
        <v>259.81</v>
      </c>
      <c r="AP119" s="62">
        <v>387.05</v>
      </c>
      <c r="AQ119" s="62">
        <v>486.75</v>
      </c>
      <c r="AR119" s="62">
        <v>568.23</v>
      </c>
      <c r="AS119" s="62">
        <v>599.84</v>
      </c>
      <c r="AT119" s="62">
        <v>0</v>
      </c>
      <c r="AU119" s="62">
        <v>0</v>
      </c>
      <c r="AV119" s="62">
        <v>0</v>
      </c>
      <c r="AW119" s="62">
        <v>0</v>
      </c>
      <c r="AX119" s="62">
        <v>0</v>
      </c>
      <c r="AY119" s="62"/>
    </row>
    <row r="120" spans="4:51" s="66" customFormat="1">
      <c r="D120" s="75"/>
      <c r="E120" s="76"/>
      <c r="AG120" s="62"/>
      <c r="AK120" s="66" t="s">
        <v>324</v>
      </c>
      <c r="AL120" s="66">
        <v>285</v>
      </c>
      <c r="AN120" s="62">
        <v>280</v>
      </c>
      <c r="AO120" s="62">
        <v>263.94</v>
      </c>
      <c r="AP120" s="62">
        <v>393.51</v>
      </c>
      <c r="AQ120" s="62">
        <v>494.56</v>
      </c>
      <c r="AR120" s="62">
        <v>577.44000000000005</v>
      </c>
      <c r="AS120" s="62">
        <v>609.67999999999995</v>
      </c>
      <c r="AT120" s="62">
        <v>0</v>
      </c>
      <c r="AU120" s="62">
        <v>0</v>
      </c>
      <c r="AV120" s="62">
        <v>0</v>
      </c>
      <c r="AW120" s="62">
        <v>0</v>
      </c>
      <c r="AX120" s="62">
        <v>0</v>
      </c>
      <c r="AY120" s="62"/>
    </row>
    <row r="121" spans="4:51" s="66" customFormat="1">
      <c r="D121" s="75"/>
      <c r="E121" s="76"/>
      <c r="AG121" s="62"/>
      <c r="AK121" s="66" t="s">
        <v>325</v>
      </c>
      <c r="AL121" s="66">
        <v>290</v>
      </c>
      <c r="AN121" s="62">
        <v>285</v>
      </c>
      <c r="AO121" s="62">
        <v>268.07</v>
      </c>
      <c r="AP121" s="62">
        <v>399.94</v>
      </c>
      <c r="AQ121" s="62">
        <v>502.39</v>
      </c>
      <c r="AR121" s="62">
        <v>586.66999999999996</v>
      </c>
      <c r="AS121" s="62">
        <v>619.52</v>
      </c>
      <c r="AT121" s="62">
        <v>0</v>
      </c>
      <c r="AU121" s="62">
        <v>0</v>
      </c>
      <c r="AV121" s="62">
        <v>0</v>
      </c>
      <c r="AW121" s="62">
        <v>0</v>
      </c>
      <c r="AX121" s="62">
        <v>0</v>
      </c>
      <c r="AY121" s="62"/>
    </row>
    <row r="122" spans="4:51" s="66" customFormat="1">
      <c r="D122" s="75"/>
      <c r="E122" s="76"/>
      <c r="AG122" s="62"/>
      <c r="AK122" s="66" t="s">
        <v>326</v>
      </c>
      <c r="AL122" s="66">
        <v>295</v>
      </c>
      <c r="AN122" s="62">
        <v>290</v>
      </c>
      <c r="AO122" s="62">
        <v>272.22000000000003</v>
      </c>
      <c r="AP122" s="62">
        <v>406.37</v>
      </c>
      <c r="AQ122" s="62">
        <v>510.23</v>
      </c>
      <c r="AR122" s="62">
        <v>595.88</v>
      </c>
      <c r="AS122" s="62">
        <v>629.36</v>
      </c>
      <c r="AT122" s="62">
        <v>0</v>
      </c>
      <c r="AU122" s="62">
        <v>0</v>
      </c>
      <c r="AV122" s="62">
        <v>0</v>
      </c>
      <c r="AW122" s="62">
        <v>0</v>
      </c>
      <c r="AX122" s="62">
        <v>0</v>
      </c>
      <c r="AY122" s="62"/>
    </row>
    <row r="123" spans="4:51" s="66" customFormat="1">
      <c r="D123" s="75"/>
      <c r="E123" s="76"/>
      <c r="AG123" s="62"/>
      <c r="AK123" s="66" t="s">
        <v>327</v>
      </c>
      <c r="AL123" s="66">
        <v>300</v>
      </c>
      <c r="AN123" s="62">
        <v>295</v>
      </c>
      <c r="AO123" s="62">
        <v>276.33</v>
      </c>
      <c r="AP123" s="62">
        <v>412.81</v>
      </c>
      <c r="AQ123" s="62">
        <v>518.09</v>
      </c>
      <c r="AR123" s="62">
        <v>605.11</v>
      </c>
      <c r="AS123" s="62">
        <v>639.21</v>
      </c>
      <c r="AT123" s="62">
        <v>0</v>
      </c>
      <c r="AU123" s="62">
        <v>0</v>
      </c>
      <c r="AV123" s="62">
        <v>0</v>
      </c>
      <c r="AW123" s="62">
        <v>0</v>
      </c>
      <c r="AX123" s="62">
        <v>0</v>
      </c>
      <c r="AY123" s="62"/>
    </row>
    <row r="124" spans="4:51" s="66" customFormat="1">
      <c r="D124" s="75"/>
      <c r="E124" s="76"/>
      <c r="AG124" s="62"/>
      <c r="AK124" s="66" t="s">
        <v>328</v>
      </c>
      <c r="AL124" s="66">
        <v>305</v>
      </c>
      <c r="AN124" s="62">
        <v>300</v>
      </c>
      <c r="AO124" s="62">
        <v>280.49</v>
      </c>
      <c r="AP124" s="62">
        <v>419.26</v>
      </c>
      <c r="AQ124" s="62">
        <v>525.91</v>
      </c>
      <c r="AR124" s="62">
        <v>614.33000000000004</v>
      </c>
      <c r="AS124" s="62">
        <v>649.04</v>
      </c>
      <c r="AT124" s="62">
        <v>0</v>
      </c>
      <c r="AU124" s="62">
        <v>0</v>
      </c>
      <c r="AV124" s="62">
        <v>0</v>
      </c>
      <c r="AW124" s="62">
        <v>0</v>
      </c>
      <c r="AX124" s="62">
        <v>0</v>
      </c>
      <c r="AY124" s="62"/>
    </row>
    <row r="125" spans="4:51" s="66" customFormat="1">
      <c r="D125" s="75"/>
      <c r="E125" s="76"/>
      <c r="AG125" s="62"/>
      <c r="AK125" s="66" t="s">
        <v>329</v>
      </c>
      <c r="AL125" s="66">
        <v>310</v>
      </c>
      <c r="AN125" s="62">
        <v>350</v>
      </c>
      <c r="AO125" s="62">
        <v>327.2</v>
      </c>
      <c r="AP125" s="62">
        <v>490.12</v>
      </c>
      <c r="AQ125" s="62">
        <v>613.20000000000005</v>
      </c>
      <c r="AR125" s="62">
        <v>715.44</v>
      </c>
      <c r="AS125" s="62">
        <v>756.12</v>
      </c>
      <c r="AT125" s="62">
        <v>0</v>
      </c>
      <c r="AU125" s="62">
        <v>0</v>
      </c>
      <c r="AV125" s="62">
        <v>0</v>
      </c>
      <c r="AW125" s="62">
        <v>0</v>
      </c>
      <c r="AX125" s="62">
        <v>0</v>
      </c>
      <c r="AY125" s="62"/>
    </row>
    <row r="126" spans="4:51" s="66" customFormat="1">
      <c r="D126" s="75"/>
      <c r="E126" s="76"/>
      <c r="AG126" s="62"/>
      <c r="AK126" s="66" t="s">
        <v>330</v>
      </c>
      <c r="AL126" s="66">
        <v>315</v>
      </c>
      <c r="AN126" s="62">
        <v>400</v>
      </c>
      <c r="AO126" s="62">
        <v>373.94</v>
      </c>
      <c r="AP126" s="62">
        <v>561.02</v>
      </c>
      <c r="AQ126" s="62">
        <v>700.51</v>
      </c>
      <c r="AR126" s="62">
        <v>816.54</v>
      </c>
      <c r="AS126" s="62">
        <v>863.21</v>
      </c>
      <c r="AT126" s="62">
        <v>0</v>
      </c>
      <c r="AU126" s="62">
        <v>0</v>
      </c>
      <c r="AV126" s="62">
        <v>0</v>
      </c>
      <c r="AW126" s="62">
        <v>0</v>
      </c>
      <c r="AX126" s="62">
        <v>0</v>
      </c>
      <c r="AY126" s="62"/>
    </row>
    <row r="127" spans="4:51" s="66" customFormat="1">
      <c r="D127" s="75"/>
      <c r="E127" s="76"/>
      <c r="AG127" s="62"/>
      <c r="AK127" s="66" t="s">
        <v>331</v>
      </c>
      <c r="AL127" s="66">
        <v>320</v>
      </c>
      <c r="AN127" s="62">
        <v>450</v>
      </c>
      <c r="AO127" s="62">
        <v>420.65</v>
      </c>
      <c r="AP127" s="62">
        <v>631.89</v>
      </c>
      <c r="AQ127" s="62">
        <v>787.84</v>
      </c>
      <c r="AR127" s="62">
        <v>917.64</v>
      </c>
      <c r="AS127" s="62">
        <v>970.28</v>
      </c>
      <c r="AT127" s="62">
        <v>0</v>
      </c>
      <c r="AU127" s="62">
        <v>0</v>
      </c>
      <c r="AV127" s="62">
        <v>0</v>
      </c>
      <c r="AW127" s="62">
        <v>0</v>
      </c>
      <c r="AX127" s="62">
        <v>0</v>
      </c>
      <c r="AY127" s="62"/>
    </row>
    <row r="128" spans="4:51" s="66" customFormat="1">
      <c r="D128" s="75"/>
      <c r="E128" s="76"/>
      <c r="AG128" s="62"/>
      <c r="AK128" s="66" t="s">
        <v>332</v>
      </c>
      <c r="AL128" s="66">
        <v>325</v>
      </c>
      <c r="AN128" s="62">
        <v>500</v>
      </c>
      <c r="AO128" s="62">
        <v>467.36</v>
      </c>
      <c r="AP128" s="62">
        <v>702.75</v>
      </c>
      <c r="AQ128" s="62">
        <v>875.15</v>
      </c>
      <c r="AR128" s="62">
        <v>1018.76</v>
      </c>
      <c r="AS128" s="62">
        <v>1077.3900000000001</v>
      </c>
      <c r="AT128" s="62">
        <v>0</v>
      </c>
      <c r="AU128" s="62">
        <v>0</v>
      </c>
      <c r="AV128" s="62">
        <v>0</v>
      </c>
      <c r="AW128" s="62">
        <v>0</v>
      </c>
      <c r="AX128" s="62">
        <v>0</v>
      </c>
      <c r="AY128" s="62"/>
    </row>
    <row r="129" spans="4:51" s="66" customFormat="1">
      <c r="D129" s="75"/>
      <c r="E129" s="76"/>
      <c r="AG129" s="62"/>
      <c r="AK129" s="66" t="s">
        <v>333</v>
      </c>
      <c r="AL129" s="66">
        <v>330</v>
      </c>
      <c r="AN129" s="62">
        <v>600</v>
      </c>
      <c r="AO129" s="62">
        <v>560.80999999999995</v>
      </c>
      <c r="AP129" s="62">
        <v>844.5</v>
      </c>
      <c r="AQ129" s="62">
        <v>1049.78</v>
      </c>
      <c r="AR129" s="62">
        <v>1220.97</v>
      </c>
      <c r="AS129" s="62">
        <v>1291.56</v>
      </c>
      <c r="AT129" s="62">
        <v>0</v>
      </c>
      <c r="AU129" s="62">
        <v>0</v>
      </c>
      <c r="AV129" s="62">
        <v>0</v>
      </c>
      <c r="AW129" s="62">
        <v>0</v>
      </c>
      <c r="AX129" s="62">
        <v>0</v>
      </c>
      <c r="AY129" s="62"/>
    </row>
    <row r="130" spans="4:51" s="66" customFormat="1">
      <c r="D130" s="75"/>
      <c r="E130" s="76"/>
      <c r="AG130" s="62"/>
      <c r="AK130" s="66" t="s">
        <v>334</v>
      </c>
      <c r="AL130" s="66">
        <v>335</v>
      </c>
      <c r="AN130" s="62">
        <v>700</v>
      </c>
      <c r="AO130" s="62">
        <v>654.25</v>
      </c>
      <c r="AP130" s="62">
        <v>986.26</v>
      </c>
      <c r="AQ130" s="62">
        <v>1224.4000000000001</v>
      </c>
      <c r="AR130" s="62">
        <v>1423.19</v>
      </c>
      <c r="AS130" s="62">
        <v>1505.69</v>
      </c>
      <c r="AT130" s="62">
        <v>0</v>
      </c>
      <c r="AU130" s="62">
        <v>0</v>
      </c>
      <c r="AV130" s="62">
        <v>0</v>
      </c>
      <c r="AW130" s="62">
        <v>0</v>
      </c>
      <c r="AX130" s="62">
        <v>0</v>
      </c>
      <c r="AY130" s="62"/>
    </row>
    <row r="131" spans="4:51" s="66" customFormat="1">
      <c r="D131" s="75"/>
      <c r="E131" s="76"/>
      <c r="AG131" s="62"/>
      <c r="AH131" s="62"/>
      <c r="AI131" s="62"/>
      <c r="AK131" s="66" t="s">
        <v>335</v>
      </c>
      <c r="AL131" s="66">
        <v>340</v>
      </c>
      <c r="AN131" s="62">
        <v>800</v>
      </c>
      <c r="AO131" s="62">
        <v>747.71</v>
      </c>
      <c r="AP131" s="62">
        <v>1128.02</v>
      </c>
      <c r="AQ131" s="62">
        <v>1399.03</v>
      </c>
      <c r="AR131" s="62">
        <v>1625.42</v>
      </c>
      <c r="AS131" s="62">
        <v>1719.88</v>
      </c>
      <c r="AT131" s="62">
        <v>0</v>
      </c>
      <c r="AU131" s="62">
        <v>0</v>
      </c>
      <c r="AV131" s="62">
        <v>0</v>
      </c>
      <c r="AW131" s="62">
        <v>0</v>
      </c>
      <c r="AX131" s="62">
        <v>0</v>
      </c>
      <c r="AY131" s="62"/>
    </row>
    <row r="132" spans="4:51" s="66" customFormat="1">
      <c r="D132" s="75"/>
      <c r="E132" s="76"/>
      <c r="AG132" s="62"/>
      <c r="AH132" s="62"/>
      <c r="AI132" s="62"/>
      <c r="AK132" s="66" t="s">
        <v>336</v>
      </c>
      <c r="AL132" s="66">
        <v>345</v>
      </c>
      <c r="AN132" s="62">
        <v>900</v>
      </c>
      <c r="AO132" s="62">
        <v>841.14</v>
      </c>
      <c r="AP132" s="62">
        <v>1269.77</v>
      </c>
      <c r="AQ132" s="62">
        <v>1573.68</v>
      </c>
      <c r="AR132" s="62">
        <v>1827.63</v>
      </c>
      <c r="AS132" s="62">
        <v>1934.02</v>
      </c>
      <c r="AT132" s="62">
        <v>0</v>
      </c>
      <c r="AU132" s="62">
        <v>0</v>
      </c>
      <c r="AV132" s="62">
        <v>0</v>
      </c>
      <c r="AW132" s="62">
        <v>0</v>
      </c>
      <c r="AX132" s="62">
        <v>0</v>
      </c>
      <c r="AY132" s="62"/>
    </row>
    <row r="133" spans="4:51" s="66" customFormat="1">
      <c r="D133" s="75"/>
      <c r="E133" s="76"/>
      <c r="AG133" s="62"/>
      <c r="AH133" s="62"/>
      <c r="AI133" s="62"/>
      <c r="AK133" s="66" t="s">
        <v>337</v>
      </c>
      <c r="AL133" s="66">
        <v>350</v>
      </c>
      <c r="AN133" s="62">
        <v>1000</v>
      </c>
      <c r="AO133" s="62">
        <v>934.6</v>
      </c>
      <c r="AP133" s="62">
        <v>1411.51</v>
      </c>
      <c r="AQ133" s="62">
        <v>1748.28</v>
      </c>
      <c r="AR133" s="62">
        <v>2029.85</v>
      </c>
      <c r="AS133" s="62">
        <v>2148.1799999999998</v>
      </c>
      <c r="AT133" s="62">
        <v>0</v>
      </c>
      <c r="AU133" s="62">
        <v>0</v>
      </c>
      <c r="AV133" s="62">
        <v>0</v>
      </c>
      <c r="AW133" s="62">
        <v>0</v>
      </c>
      <c r="AX133" s="62">
        <v>0</v>
      </c>
      <c r="AY133" s="62"/>
    </row>
    <row r="134" spans="4:51" s="66" customFormat="1">
      <c r="D134" s="75"/>
      <c r="E134" s="76"/>
      <c r="AG134" s="62"/>
      <c r="AH134" s="62"/>
      <c r="AI134" s="62"/>
      <c r="AK134" s="66" t="s">
        <v>338</v>
      </c>
      <c r="AL134" s="66">
        <v>355</v>
      </c>
      <c r="AN134" s="62" t="s">
        <v>339</v>
      </c>
      <c r="AO134" s="62">
        <v>0.93500000000000005</v>
      </c>
      <c r="AP134" s="157">
        <v>1.413</v>
      </c>
      <c r="AQ134" s="157">
        <v>1.748</v>
      </c>
      <c r="AR134" s="157">
        <v>2.0299999999999998</v>
      </c>
      <c r="AS134" s="157">
        <v>2.1469999999999998</v>
      </c>
      <c r="AT134" s="157">
        <v>0</v>
      </c>
      <c r="AU134" s="157">
        <v>0</v>
      </c>
      <c r="AV134" s="157">
        <v>0</v>
      </c>
      <c r="AW134" s="157">
        <v>0</v>
      </c>
      <c r="AX134" s="157">
        <v>0</v>
      </c>
      <c r="AY134" s="62"/>
    </row>
    <row r="135" spans="4:51" s="66" customFormat="1">
      <c r="D135" s="75"/>
      <c r="E135" s="76"/>
      <c r="AG135" s="62"/>
      <c r="AH135" s="62"/>
      <c r="AI135" s="62"/>
      <c r="AK135" s="66" t="s">
        <v>340</v>
      </c>
      <c r="AL135" s="66">
        <v>360</v>
      </c>
      <c r="AN135" s="62" t="s">
        <v>210</v>
      </c>
      <c r="AO135" s="62" t="e">
        <v>#N/A</v>
      </c>
      <c r="AP135" s="62" t="e">
        <v>#N/A</v>
      </c>
      <c r="AQ135" s="62" t="e">
        <v>#N/A</v>
      </c>
      <c r="AR135" s="62" t="e">
        <v>#N/A</v>
      </c>
      <c r="AS135" s="62" t="e">
        <v>#N/A</v>
      </c>
      <c r="AT135" s="62" t="e">
        <v>#N/A</v>
      </c>
      <c r="AU135" s="62" t="e">
        <v>#N/A</v>
      </c>
      <c r="AV135" s="62" t="e">
        <v>#N/A</v>
      </c>
      <c r="AW135" s="62" t="e">
        <v>#N/A</v>
      </c>
      <c r="AX135" s="62" t="e">
        <v>#N/A</v>
      </c>
    </row>
    <row r="136" spans="4:51" s="66" customFormat="1">
      <c r="D136" s="75"/>
      <c r="E136" s="76"/>
      <c r="AG136" s="62"/>
      <c r="AH136" s="62"/>
      <c r="AI136" s="62"/>
      <c r="AK136" s="66" t="s">
        <v>341</v>
      </c>
      <c r="AL136" s="66">
        <v>365</v>
      </c>
      <c r="AN136" s="62" t="s">
        <v>210</v>
      </c>
      <c r="AO136" s="62" t="e">
        <v>#N/A</v>
      </c>
      <c r="AP136" s="62" t="e">
        <v>#N/A</v>
      </c>
      <c r="AQ136" s="62" t="e">
        <v>#N/A</v>
      </c>
      <c r="AR136" s="62" t="e">
        <v>#N/A</v>
      </c>
      <c r="AS136" s="62" t="e">
        <v>#N/A</v>
      </c>
      <c r="AT136" s="62" t="e">
        <v>#N/A</v>
      </c>
      <c r="AU136" s="62" t="e">
        <v>#N/A</v>
      </c>
      <c r="AV136" s="62" t="e">
        <v>#N/A</v>
      </c>
      <c r="AW136" s="62" t="e">
        <v>#N/A</v>
      </c>
      <c r="AX136" s="62" t="e">
        <v>#N/A</v>
      </c>
    </row>
    <row r="137" spans="4:51" s="66" customFormat="1">
      <c r="D137" s="75"/>
      <c r="E137" s="76"/>
      <c r="AG137" s="62"/>
      <c r="AH137" s="62"/>
      <c r="AI137" s="62"/>
      <c r="AK137" s="66" t="s">
        <v>342</v>
      </c>
      <c r="AL137" s="66">
        <v>370</v>
      </c>
      <c r="AN137" s="62" t="s">
        <v>210</v>
      </c>
      <c r="AO137" s="62" t="e">
        <v>#N/A</v>
      </c>
      <c r="AP137" s="62" t="e">
        <v>#N/A</v>
      </c>
      <c r="AQ137" s="62" t="e">
        <v>#N/A</v>
      </c>
      <c r="AR137" s="62" t="e">
        <v>#N/A</v>
      </c>
      <c r="AS137" s="62" t="e">
        <v>#N/A</v>
      </c>
      <c r="AT137" s="62" t="e">
        <v>#N/A</v>
      </c>
      <c r="AU137" s="62" t="e">
        <v>#N/A</v>
      </c>
      <c r="AV137" s="62" t="e">
        <v>#N/A</v>
      </c>
      <c r="AW137" s="62" t="e">
        <v>#N/A</v>
      </c>
      <c r="AX137" s="62" t="e">
        <v>#N/A</v>
      </c>
    </row>
    <row r="138" spans="4:51" s="66" customFormat="1">
      <c r="D138" s="75"/>
      <c r="E138" s="76"/>
      <c r="AG138" s="62"/>
      <c r="AH138" s="62"/>
      <c r="AI138" s="62"/>
      <c r="AK138" s="66" t="s">
        <v>343</v>
      </c>
      <c r="AL138" s="66">
        <v>375</v>
      </c>
      <c r="AN138" s="62" t="s">
        <v>210</v>
      </c>
      <c r="AO138" s="62" t="e">
        <v>#N/A</v>
      </c>
      <c r="AP138" s="62" t="e">
        <v>#N/A</v>
      </c>
      <c r="AQ138" s="62" t="e">
        <v>#N/A</v>
      </c>
      <c r="AR138" s="62" t="e">
        <v>#N/A</v>
      </c>
      <c r="AS138" s="62" t="e">
        <v>#N/A</v>
      </c>
      <c r="AT138" s="62" t="e">
        <v>#N/A</v>
      </c>
      <c r="AU138" s="62" t="e">
        <v>#N/A</v>
      </c>
      <c r="AV138" s="62" t="e">
        <v>#N/A</v>
      </c>
      <c r="AW138" s="62" t="e">
        <v>#N/A</v>
      </c>
      <c r="AX138" s="62" t="e">
        <v>#N/A</v>
      </c>
    </row>
    <row r="139" spans="4:51" s="66" customFormat="1">
      <c r="D139" s="75"/>
      <c r="E139" s="76"/>
      <c r="AG139" s="62"/>
      <c r="AH139" s="62"/>
      <c r="AI139" s="62"/>
      <c r="AK139" s="66" t="s">
        <v>344</v>
      </c>
      <c r="AL139" s="66">
        <v>380</v>
      </c>
      <c r="AN139" s="62" t="s">
        <v>210</v>
      </c>
      <c r="AO139" s="62" t="e">
        <v>#N/A</v>
      </c>
      <c r="AP139" s="62" t="e">
        <v>#N/A</v>
      </c>
      <c r="AQ139" s="62" t="e">
        <v>#N/A</v>
      </c>
      <c r="AR139" s="62" t="e">
        <v>#N/A</v>
      </c>
      <c r="AS139" s="62" t="e">
        <v>#N/A</v>
      </c>
      <c r="AT139" s="62" t="e">
        <v>#N/A</v>
      </c>
      <c r="AU139" s="62" t="e">
        <v>#N/A</v>
      </c>
      <c r="AV139" s="62" t="e">
        <v>#N/A</v>
      </c>
      <c r="AW139" s="62" t="e">
        <v>#N/A</v>
      </c>
      <c r="AX139" s="62" t="e">
        <v>#N/A</v>
      </c>
    </row>
    <row r="140" spans="4:51" s="66" customFormat="1">
      <c r="D140" s="75"/>
      <c r="E140" s="76"/>
      <c r="AG140" s="62"/>
      <c r="AH140" s="62"/>
      <c r="AI140" s="62"/>
      <c r="AK140" s="66" t="s">
        <v>345</v>
      </c>
      <c r="AL140" s="66">
        <v>385</v>
      </c>
      <c r="AN140" s="62" t="s">
        <v>210</v>
      </c>
      <c r="AO140" s="62" t="e">
        <v>#N/A</v>
      </c>
      <c r="AP140" s="62" t="e">
        <v>#N/A</v>
      </c>
      <c r="AQ140" s="62" t="e">
        <v>#N/A</v>
      </c>
      <c r="AR140" s="62" t="e">
        <v>#N/A</v>
      </c>
      <c r="AS140" s="62" t="e">
        <v>#N/A</v>
      </c>
      <c r="AT140" s="62" t="e">
        <v>#N/A</v>
      </c>
      <c r="AU140" s="62" t="e">
        <v>#N/A</v>
      </c>
      <c r="AV140" s="62" t="e">
        <v>#N/A</v>
      </c>
      <c r="AW140" s="62" t="e">
        <v>#N/A</v>
      </c>
      <c r="AX140" s="62" t="e">
        <v>#N/A</v>
      </c>
    </row>
    <row r="141" spans="4:51" s="66" customFormat="1">
      <c r="D141" s="75"/>
      <c r="E141" s="76"/>
      <c r="AG141" s="62"/>
      <c r="AH141" s="62"/>
      <c r="AI141" s="62"/>
      <c r="AK141" s="66" t="s">
        <v>346</v>
      </c>
      <c r="AL141" s="66">
        <v>390</v>
      </c>
      <c r="AN141" s="62" t="s">
        <v>210</v>
      </c>
      <c r="AO141" s="62" t="e">
        <v>#N/A</v>
      </c>
      <c r="AP141" s="62" t="e">
        <v>#N/A</v>
      </c>
      <c r="AQ141" s="62" t="e">
        <v>#N/A</v>
      </c>
      <c r="AR141" s="62" t="e">
        <v>#N/A</v>
      </c>
      <c r="AS141" s="62" t="e">
        <v>#N/A</v>
      </c>
      <c r="AT141" s="62" t="e">
        <v>#N/A</v>
      </c>
      <c r="AU141" s="62" t="e">
        <v>#N/A</v>
      </c>
      <c r="AV141" s="62" t="e">
        <v>#N/A</v>
      </c>
      <c r="AW141" s="62" t="e">
        <v>#N/A</v>
      </c>
      <c r="AX141" s="62" t="e">
        <v>#N/A</v>
      </c>
    </row>
    <row r="142" spans="4:51" s="66" customFormat="1">
      <c r="D142" s="75"/>
      <c r="E142" s="76"/>
      <c r="AG142" s="62"/>
      <c r="AH142" s="62"/>
      <c r="AI142" s="62"/>
      <c r="AK142" s="66" t="s">
        <v>347</v>
      </c>
      <c r="AL142" s="66">
        <v>395</v>
      </c>
      <c r="AN142" s="62" t="s">
        <v>210</v>
      </c>
      <c r="AO142" s="62" t="e">
        <v>#N/A</v>
      </c>
      <c r="AP142" s="62" t="e">
        <v>#N/A</v>
      </c>
      <c r="AQ142" s="62" t="e">
        <v>#N/A</v>
      </c>
      <c r="AR142" s="62" t="e">
        <v>#N/A</v>
      </c>
      <c r="AS142" s="62" t="e">
        <v>#N/A</v>
      </c>
      <c r="AT142" s="62" t="e">
        <v>#N/A</v>
      </c>
      <c r="AU142" s="62" t="e">
        <v>#N/A</v>
      </c>
      <c r="AV142" s="62" t="e">
        <v>#N/A</v>
      </c>
      <c r="AW142" s="62" t="e">
        <v>#N/A</v>
      </c>
      <c r="AX142" s="62" t="e">
        <v>#N/A</v>
      </c>
    </row>
    <row r="143" spans="4:51" s="66" customFormat="1">
      <c r="D143" s="75"/>
      <c r="E143" s="76"/>
      <c r="AG143" s="62"/>
      <c r="AH143" s="62"/>
      <c r="AI143" s="62"/>
      <c r="AK143" s="66" t="s">
        <v>348</v>
      </c>
      <c r="AL143" s="66">
        <v>400</v>
      </c>
      <c r="AN143" s="62" t="s">
        <v>210</v>
      </c>
      <c r="AO143" s="62" t="e">
        <v>#N/A</v>
      </c>
      <c r="AP143" s="62" t="e">
        <v>#N/A</v>
      </c>
      <c r="AQ143" s="62" t="e">
        <v>#N/A</v>
      </c>
      <c r="AR143" s="62" t="e">
        <v>#N/A</v>
      </c>
      <c r="AS143" s="62" t="e">
        <v>#N/A</v>
      </c>
      <c r="AT143" s="62" t="e">
        <v>#N/A</v>
      </c>
      <c r="AU143" s="62" t="e">
        <v>#N/A</v>
      </c>
      <c r="AV143" s="62" t="e">
        <v>#N/A</v>
      </c>
      <c r="AW143" s="62" t="e">
        <v>#N/A</v>
      </c>
      <c r="AX143" s="62" t="e">
        <v>#N/A</v>
      </c>
    </row>
    <row r="144" spans="4:51" s="66" customFormat="1">
      <c r="D144" s="75"/>
      <c r="E144" s="76"/>
      <c r="AG144" s="62"/>
      <c r="AH144" s="62"/>
      <c r="AI144" s="62"/>
      <c r="AK144" s="66" t="s">
        <v>349</v>
      </c>
      <c r="AL144" s="66">
        <v>405</v>
      </c>
      <c r="AN144" s="62" t="s">
        <v>210</v>
      </c>
      <c r="AO144" s="62" t="e">
        <v>#N/A</v>
      </c>
      <c r="AP144" s="62" t="e">
        <v>#N/A</v>
      </c>
      <c r="AQ144" s="62" t="e">
        <v>#N/A</v>
      </c>
      <c r="AR144" s="62" t="e">
        <v>#N/A</v>
      </c>
      <c r="AS144" s="62" t="e">
        <v>#N/A</v>
      </c>
      <c r="AT144" s="62" t="e">
        <v>#N/A</v>
      </c>
      <c r="AU144" s="62" t="e">
        <v>#N/A</v>
      </c>
      <c r="AV144" s="62" t="e">
        <v>#N/A</v>
      </c>
      <c r="AW144" s="62" t="e">
        <v>#N/A</v>
      </c>
      <c r="AX144" s="62" t="e">
        <v>#N/A</v>
      </c>
    </row>
    <row r="145" spans="4:50" s="66" customFormat="1">
      <c r="D145" s="75"/>
      <c r="E145" s="76"/>
      <c r="AG145" s="62"/>
      <c r="AH145" s="62"/>
      <c r="AI145" s="62"/>
      <c r="AK145" s="66" t="s">
        <v>350</v>
      </c>
      <c r="AL145" s="66">
        <v>410</v>
      </c>
      <c r="AN145" s="62" t="s">
        <v>210</v>
      </c>
      <c r="AO145" s="62" t="e">
        <v>#N/A</v>
      </c>
      <c r="AP145" s="62" t="e">
        <v>#N/A</v>
      </c>
      <c r="AQ145" s="62" t="e">
        <v>#N/A</v>
      </c>
      <c r="AR145" s="62" t="e">
        <v>#N/A</v>
      </c>
      <c r="AS145" s="62" t="e">
        <v>#N/A</v>
      </c>
      <c r="AT145" s="62" t="e">
        <v>#N/A</v>
      </c>
      <c r="AU145" s="62" t="e">
        <v>#N/A</v>
      </c>
      <c r="AV145" s="62" t="e">
        <v>#N/A</v>
      </c>
      <c r="AW145" s="62" t="e">
        <v>#N/A</v>
      </c>
      <c r="AX145" s="62" t="e">
        <v>#N/A</v>
      </c>
    </row>
    <row r="146" spans="4:50" s="66" customFormat="1">
      <c r="D146" s="75"/>
      <c r="E146" s="76"/>
      <c r="AG146" s="62"/>
      <c r="AH146" s="62"/>
      <c r="AI146" s="62"/>
      <c r="AK146" s="66" t="s">
        <v>351</v>
      </c>
      <c r="AL146" s="66">
        <v>415</v>
      </c>
      <c r="AN146" s="62" t="s">
        <v>210</v>
      </c>
      <c r="AO146" s="62" t="e">
        <v>#N/A</v>
      </c>
      <c r="AP146" s="62" t="e">
        <v>#N/A</v>
      </c>
      <c r="AQ146" s="62" t="e">
        <v>#N/A</v>
      </c>
      <c r="AR146" s="62" t="e">
        <v>#N/A</v>
      </c>
      <c r="AS146" s="62" t="e">
        <v>#N/A</v>
      </c>
      <c r="AT146" s="62" t="e">
        <v>#N/A</v>
      </c>
      <c r="AU146" s="62" t="e">
        <v>#N/A</v>
      </c>
      <c r="AV146" s="62" t="e">
        <v>#N/A</v>
      </c>
      <c r="AW146" s="62" t="e">
        <v>#N/A</v>
      </c>
      <c r="AX146" s="62" t="e">
        <v>#N/A</v>
      </c>
    </row>
    <row r="147" spans="4:50" s="66" customFormat="1">
      <c r="D147" s="75"/>
      <c r="E147" s="76"/>
      <c r="AG147" s="62"/>
      <c r="AH147" s="62"/>
      <c r="AI147" s="62"/>
      <c r="AK147" s="66" t="s">
        <v>352</v>
      </c>
      <c r="AL147" s="66">
        <v>420</v>
      </c>
      <c r="AN147" s="62" t="s">
        <v>210</v>
      </c>
      <c r="AO147" s="62" t="e">
        <v>#N/A</v>
      </c>
      <c r="AP147" s="62" t="e">
        <v>#N/A</v>
      </c>
      <c r="AQ147" s="62" t="e">
        <v>#N/A</v>
      </c>
      <c r="AR147" s="62" t="e">
        <v>#N/A</v>
      </c>
      <c r="AS147" s="62" t="e">
        <v>#N/A</v>
      </c>
      <c r="AT147" s="62" t="e">
        <v>#N/A</v>
      </c>
      <c r="AU147" s="62" t="e">
        <v>#N/A</v>
      </c>
      <c r="AV147" s="62" t="e">
        <v>#N/A</v>
      </c>
      <c r="AW147" s="62" t="e">
        <v>#N/A</v>
      </c>
      <c r="AX147" s="62" t="e">
        <v>#N/A</v>
      </c>
    </row>
    <row r="148" spans="4:50" s="66" customFormat="1">
      <c r="D148" s="75"/>
      <c r="E148" s="76"/>
      <c r="AG148" s="62"/>
      <c r="AH148" s="62"/>
      <c r="AI148" s="62"/>
      <c r="AK148" s="66" t="s">
        <v>353</v>
      </c>
      <c r="AL148" s="66">
        <v>425</v>
      </c>
      <c r="AN148" s="62" t="s">
        <v>210</v>
      </c>
      <c r="AO148" s="62" t="e">
        <v>#N/A</v>
      </c>
      <c r="AP148" s="62" t="e">
        <v>#N/A</v>
      </c>
      <c r="AQ148" s="62" t="e">
        <v>#N/A</v>
      </c>
      <c r="AR148" s="62" t="e">
        <v>#N/A</v>
      </c>
      <c r="AS148" s="62" t="e">
        <v>#N/A</v>
      </c>
      <c r="AT148" s="62" t="e">
        <v>#N/A</v>
      </c>
      <c r="AU148" s="62" t="e">
        <v>#N/A</v>
      </c>
      <c r="AV148" s="62" t="e">
        <v>#N/A</v>
      </c>
      <c r="AW148" s="62" t="e">
        <v>#N/A</v>
      </c>
      <c r="AX148" s="62" t="e">
        <v>#N/A</v>
      </c>
    </row>
    <row r="149" spans="4:50" s="66" customFormat="1">
      <c r="D149" s="75"/>
      <c r="E149" s="76"/>
      <c r="AG149" s="62"/>
      <c r="AH149" s="62"/>
      <c r="AI149" s="62"/>
      <c r="AK149" s="66" t="s">
        <v>354</v>
      </c>
      <c r="AL149" s="66">
        <v>430</v>
      </c>
      <c r="AN149" s="62" t="s">
        <v>210</v>
      </c>
      <c r="AO149" s="62" t="e">
        <v>#N/A</v>
      </c>
      <c r="AP149" s="62" t="e">
        <v>#N/A</v>
      </c>
      <c r="AQ149" s="62" t="e">
        <v>#N/A</v>
      </c>
      <c r="AR149" s="62" t="e">
        <v>#N/A</v>
      </c>
      <c r="AS149" s="62" t="e">
        <v>#N/A</v>
      </c>
      <c r="AT149" s="62" t="e">
        <v>#N/A</v>
      </c>
      <c r="AU149" s="62" t="e">
        <v>#N/A</v>
      </c>
      <c r="AV149" s="62" t="e">
        <v>#N/A</v>
      </c>
      <c r="AW149" s="62" t="e">
        <v>#N/A</v>
      </c>
      <c r="AX149" s="62" t="e">
        <v>#N/A</v>
      </c>
    </row>
    <row r="150" spans="4:50" s="66" customFormat="1">
      <c r="D150" s="75"/>
      <c r="E150" s="76"/>
      <c r="AG150" s="62"/>
      <c r="AH150" s="62"/>
      <c r="AI150" s="62"/>
      <c r="AK150" s="66" t="s">
        <v>355</v>
      </c>
      <c r="AL150" s="66">
        <v>435</v>
      </c>
      <c r="AN150" s="62" t="s">
        <v>210</v>
      </c>
      <c r="AO150" s="62" t="e">
        <v>#N/A</v>
      </c>
      <c r="AP150" s="62" t="e">
        <v>#N/A</v>
      </c>
      <c r="AQ150" s="62" t="e">
        <v>#N/A</v>
      </c>
      <c r="AR150" s="62" t="e">
        <v>#N/A</v>
      </c>
      <c r="AS150" s="62" t="e">
        <v>#N/A</v>
      </c>
      <c r="AT150" s="62" t="e">
        <v>#N/A</v>
      </c>
      <c r="AU150" s="62" t="e">
        <v>#N/A</v>
      </c>
      <c r="AV150" s="62" t="e">
        <v>#N/A</v>
      </c>
      <c r="AW150" s="62" t="e">
        <v>#N/A</v>
      </c>
      <c r="AX150" s="62" t="e">
        <v>#N/A</v>
      </c>
    </row>
    <row r="151" spans="4:50" s="66" customFormat="1">
      <c r="D151" s="75"/>
      <c r="E151" s="76"/>
      <c r="AG151" s="62"/>
      <c r="AH151" s="62"/>
      <c r="AI151" s="62"/>
      <c r="AK151" s="66" t="s">
        <v>356</v>
      </c>
      <c r="AL151" s="66">
        <v>440</v>
      </c>
      <c r="AN151" s="62" t="s">
        <v>210</v>
      </c>
      <c r="AO151" s="62" t="e">
        <v>#N/A</v>
      </c>
      <c r="AP151" s="62" t="e">
        <v>#N/A</v>
      </c>
      <c r="AQ151" s="62" t="e">
        <v>#N/A</v>
      </c>
      <c r="AR151" s="62" t="e">
        <v>#N/A</v>
      </c>
      <c r="AS151" s="62" t="e">
        <v>#N/A</v>
      </c>
      <c r="AT151" s="62" t="e">
        <v>#N/A</v>
      </c>
      <c r="AU151" s="62" t="e">
        <v>#N/A</v>
      </c>
      <c r="AV151" s="62" t="e">
        <v>#N/A</v>
      </c>
      <c r="AW151" s="62" t="e">
        <v>#N/A</v>
      </c>
      <c r="AX151" s="62" t="e">
        <v>#N/A</v>
      </c>
    </row>
    <row r="152" spans="4:50" s="66" customFormat="1">
      <c r="D152" s="75"/>
      <c r="E152" s="76"/>
      <c r="AG152" s="62"/>
      <c r="AH152" s="62"/>
      <c r="AI152" s="62"/>
      <c r="AK152" s="66" t="s">
        <v>357</v>
      </c>
      <c r="AL152" s="66">
        <v>445</v>
      </c>
      <c r="AN152" s="62" t="s">
        <v>210</v>
      </c>
      <c r="AO152" s="62" t="e">
        <v>#N/A</v>
      </c>
      <c r="AP152" s="62" t="e">
        <v>#N/A</v>
      </c>
      <c r="AQ152" s="62" t="e">
        <v>#N/A</v>
      </c>
      <c r="AR152" s="62" t="e">
        <v>#N/A</v>
      </c>
      <c r="AS152" s="62" t="e">
        <v>#N/A</v>
      </c>
      <c r="AT152" s="62" t="e">
        <v>#N/A</v>
      </c>
      <c r="AU152" s="62" t="e">
        <v>#N/A</v>
      </c>
      <c r="AV152" s="62" t="e">
        <v>#N/A</v>
      </c>
      <c r="AW152" s="62" t="e">
        <v>#N/A</v>
      </c>
      <c r="AX152" s="62" t="e">
        <v>#N/A</v>
      </c>
    </row>
    <row r="153" spans="4:50" s="66" customFormat="1">
      <c r="D153" s="75"/>
      <c r="E153" s="76"/>
      <c r="AG153" s="62"/>
      <c r="AH153" s="62"/>
      <c r="AI153" s="62"/>
      <c r="AK153" s="66" t="s">
        <v>358</v>
      </c>
      <c r="AL153" s="66">
        <v>450</v>
      </c>
      <c r="AN153" s="62" t="s">
        <v>210</v>
      </c>
      <c r="AO153" s="62" t="e">
        <v>#N/A</v>
      </c>
      <c r="AP153" s="62" t="e">
        <v>#N/A</v>
      </c>
      <c r="AQ153" s="62" t="e">
        <v>#N/A</v>
      </c>
      <c r="AR153" s="62" t="e">
        <v>#N/A</v>
      </c>
      <c r="AS153" s="62" t="e">
        <v>#N/A</v>
      </c>
      <c r="AT153" s="62" t="e">
        <v>#N/A</v>
      </c>
      <c r="AU153" s="62" t="e">
        <v>#N/A</v>
      </c>
      <c r="AV153" s="62" t="e">
        <v>#N/A</v>
      </c>
      <c r="AW153" s="62" t="e">
        <v>#N/A</v>
      </c>
      <c r="AX153" s="62" t="e">
        <v>#N/A</v>
      </c>
    </row>
    <row r="154" spans="4:50" s="66" customFormat="1">
      <c r="D154" s="75"/>
      <c r="E154" s="76"/>
      <c r="AG154" s="62"/>
      <c r="AH154" s="62"/>
      <c r="AI154" s="62"/>
      <c r="AK154" s="66" t="s">
        <v>359</v>
      </c>
      <c r="AL154" s="66">
        <v>455</v>
      </c>
      <c r="AN154" s="62" t="s">
        <v>210</v>
      </c>
      <c r="AO154" s="62" t="e">
        <v>#N/A</v>
      </c>
      <c r="AP154" s="62" t="e">
        <v>#N/A</v>
      </c>
      <c r="AQ154" s="62" t="e">
        <v>#N/A</v>
      </c>
      <c r="AR154" s="62" t="e">
        <v>#N/A</v>
      </c>
      <c r="AS154" s="62" t="e">
        <v>#N/A</v>
      </c>
      <c r="AT154" s="62" t="e">
        <v>#N/A</v>
      </c>
      <c r="AU154" s="62" t="e">
        <v>#N/A</v>
      </c>
      <c r="AV154" s="62" t="e">
        <v>#N/A</v>
      </c>
      <c r="AW154" s="62" t="e">
        <v>#N/A</v>
      </c>
      <c r="AX154" s="62" t="e">
        <v>#N/A</v>
      </c>
    </row>
    <row r="155" spans="4:50" s="66" customFormat="1">
      <c r="D155" s="75"/>
      <c r="E155" s="76"/>
      <c r="AG155" s="62"/>
      <c r="AH155" s="62"/>
      <c r="AI155" s="62"/>
      <c r="AK155" s="66" t="s">
        <v>360</v>
      </c>
      <c r="AL155" s="66">
        <v>460</v>
      </c>
      <c r="AN155" s="62" t="s">
        <v>210</v>
      </c>
      <c r="AO155" s="62" t="e">
        <v>#N/A</v>
      </c>
      <c r="AP155" s="62" t="e">
        <v>#N/A</v>
      </c>
      <c r="AQ155" s="62" t="e">
        <v>#N/A</v>
      </c>
      <c r="AR155" s="62" t="e">
        <v>#N/A</v>
      </c>
      <c r="AS155" s="62" t="e">
        <v>#N/A</v>
      </c>
      <c r="AT155" s="62" t="e">
        <v>#N/A</v>
      </c>
      <c r="AU155" s="62" t="e">
        <v>#N/A</v>
      </c>
      <c r="AV155" s="62" t="e">
        <v>#N/A</v>
      </c>
      <c r="AW155" s="62" t="e">
        <v>#N/A</v>
      </c>
      <c r="AX155" s="62" t="e">
        <v>#N/A</v>
      </c>
    </row>
    <row r="156" spans="4:50" s="66" customFormat="1">
      <c r="D156" s="75"/>
      <c r="E156" s="76"/>
      <c r="AG156" s="62"/>
      <c r="AH156" s="62"/>
      <c r="AI156" s="62"/>
      <c r="AK156" s="66" t="s">
        <v>361</v>
      </c>
      <c r="AL156" s="66">
        <v>465</v>
      </c>
      <c r="AN156" s="62" t="s">
        <v>210</v>
      </c>
      <c r="AO156" s="62" t="e">
        <v>#N/A</v>
      </c>
      <c r="AP156" s="62" t="e">
        <v>#N/A</v>
      </c>
      <c r="AQ156" s="62" t="e">
        <v>#N/A</v>
      </c>
      <c r="AR156" s="62" t="e">
        <v>#N/A</v>
      </c>
      <c r="AS156" s="62" t="e">
        <v>#N/A</v>
      </c>
      <c r="AT156" s="62" t="e">
        <v>#N/A</v>
      </c>
      <c r="AU156" s="62" t="e">
        <v>#N/A</v>
      </c>
      <c r="AV156" s="62" t="e">
        <v>#N/A</v>
      </c>
      <c r="AW156" s="62" t="e">
        <v>#N/A</v>
      </c>
      <c r="AX156" s="62" t="e">
        <v>#N/A</v>
      </c>
    </row>
    <row r="157" spans="4:50" s="66" customFormat="1">
      <c r="D157" s="75"/>
      <c r="E157" s="76"/>
      <c r="AG157" s="62"/>
      <c r="AH157" s="62"/>
      <c r="AI157" s="62"/>
      <c r="AK157" s="66" t="s">
        <v>362</v>
      </c>
      <c r="AL157" s="66">
        <v>470</v>
      </c>
      <c r="AN157" s="62" t="s">
        <v>210</v>
      </c>
      <c r="AO157" s="62" t="e">
        <v>#N/A</v>
      </c>
      <c r="AP157" s="62" t="e">
        <v>#N/A</v>
      </c>
      <c r="AQ157" s="62" t="e">
        <v>#N/A</v>
      </c>
      <c r="AR157" s="62" t="e">
        <v>#N/A</v>
      </c>
      <c r="AS157" s="62" t="e">
        <v>#N/A</v>
      </c>
      <c r="AT157" s="62" t="e">
        <v>#N/A</v>
      </c>
      <c r="AU157" s="62" t="e">
        <v>#N/A</v>
      </c>
      <c r="AV157" s="62" t="e">
        <v>#N/A</v>
      </c>
      <c r="AW157" s="62" t="e">
        <v>#N/A</v>
      </c>
      <c r="AX157" s="62" t="e">
        <v>#N/A</v>
      </c>
    </row>
    <row r="158" spans="4:50" s="66" customFormat="1">
      <c r="D158" s="75"/>
      <c r="E158" s="76"/>
      <c r="AG158" s="62"/>
      <c r="AH158" s="62"/>
      <c r="AI158" s="62"/>
      <c r="AK158" s="66" t="s">
        <v>363</v>
      </c>
      <c r="AL158" s="66">
        <v>475</v>
      </c>
      <c r="AN158" s="62" t="s">
        <v>210</v>
      </c>
      <c r="AO158" s="62" t="e">
        <v>#N/A</v>
      </c>
      <c r="AP158" s="62" t="e">
        <v>#N/A</v>
      </c>
      <c r="AQ158" s="62" t="e">
        <v>#N/A</v>
      </c>
      <c r="AR158" s="62" t="e">
        <v>#N/A</v>
      </c>
      <c r="AS158" s="62" t="e">
        <v>#N/A</v>
      </c>
      <c r="AT158" s="62" t="e">
        <v>#N/A</v>
      </c>
      <c r="AU158" s="62" t="e">
        <v>#N/A</v>
      </c>
      <c r="AV158" s="62" t="e">
        <v>#N/A</v>
      </c>
      <c r="AW158" s="62" t="e">
        <v>#N/A</v>
      </c>
      <c r="AX158" s="62" t="e">
        <v>#N/A</v>
      </c>
    </row>
    <row r="159" spans="4:50" s="66" customFormat="1">
      <c r="D159" s="75"/>
      <c r="E159" s="76"/>
      <c r="AG159" s="62"/>
      <c r="AH159" s="62"/>
      <c r="AI159" s="62"/>
      <c r="AK159" s="66" t="s">
        <v>364</v>
      </c>
      <c r="AL159" s="66">
        <v>480</v>
      </c>
      <c r="AN159" s="62" t="s">
        <v>210</v>
      </c>
      <c r="AO159" s="62" t="e">
        <v>#N/A</v>
      </c>
      <c r="AP159" s="62" t="e">
        <v>#N/A</v>
      </c>
      <c r="AQ159" s="62" t="e">
        <v>#N/A</v>
      </c>
      <c r="AR159" s="62" t="e">
        <v>#N/A</v>
      </c>
      <c r="AS159" s="62" t="e">
        <v>#N/A</v>
      </c>
      <c r="AT159" s="62" t="e">
        <v>#N/A</v>
      </c>
      <c r="AU159" s="62" t="e">
        <v>#N/A</v>
      </c>
      <c r="AV159" s="62" t="e">
        <v>#N/A</v>
      </c>
      <c r="AW159" s="62" t="e">
        <v>#N/A</v>
      </c>
      <c r="AX159" s="62" t="e">
        <v>#N/A</v>
      </c>
    </row>
    <row r="160" spans="4:50" s="66" customFormat="1">
      <c r="D160" s="75"/>
      <c r="E160" s="76"/>
      <c r="AG160" s="62"/>
      <c r="AH160" s="62"/>
      <c r="AI160" s="62"/>
      <c r="AK160" s="66" t="s">
        <v>365</v>
      </c>
      <c r="AL160" s="66">
        <v>485</v>
      </c>
      <c r="AN160" s="62" t="s">
        <v>210</v>
      </c>
      <c r="AO160" s="62" t="e">
        <v>#N/A</v>
      </c>
      <c r="AP160" s="62" t="e">
        <v>#N/A</v>
      </c>
      <c r="AQ160" s="62" t="e">
        <v>#N/A</v>
      </c>
      <c r="AR160" s="62" t="e">
        <v>#N/A</v>
      </c>
      <c r="AS160" s="62" t="e">
        <v>#N/A</v>
      </c>
      <c r="AT160" s="62" t="e">
        <v>#N/A</v>
      </c>
      <c r="AU160" s="62" t="e">
        <v>#N/A</v>
      </c>
      <c r="AV160" s="62" t="e">
        <v>#N/A</v>
      </c>
      <c r="AW160" s="62" t="e">
        <v>#N/A</v>
      </c>
      <c r="AX160" s="62" t="e">
        <v>#N/A</v>
      </c>
    </row>
    <row r="161" spans="4:50" s="66" customFormat="1">
      <c r="D161" s="75"/>
      <c r="E161" s="76"/>
      <c r="AG161" s="62"/>
      <c r="AH161" s="62"/>
      <c r="AI161" s="62"/>
      <c r="AK161" s="66" t="s">
        <v>366</v>
      </c>
      <c r="AL161" s="66">
        <v>490</v>
      </c>
      <c r="AN161" s="62" t="s">
        <v>210</v>
      </c>
      <c r="AO161" s="62" t="e">
        <v>#N/A</v>
      </c>
      <c r="AP161" s="62" t="e">
        <v>#N/A</v>
      </c>
      <c r="AQ161" s="62" t="e">
        <v>#N/A</v>
      </c>
      <c r="AR161" s="62" t="e">
        <v>#N/A</v>
      </c>
      <c r="AS161" s="62" t="e">
        <v>#N/A</v>
      </c>
      <c r="AT161" s="62" t="e">
        <v>#N/A</v>
      </c>
      <c r="AU161" s="62" t="e">
        <v>#N/A</v>
      </c>
      <c r="AV161" s="62" t="e">
        <v>#N/A</v>
      </c>
      <c r="AW161" s="62" t="e">
        <v>#N/A</v>
      </c>
      <c r="AX161" s="62" t="e">
        <v>#N/A</v>
      </c>
    </row>
    <row r="162" spans="4:50" s="66" customFormat="1">
      <c r="D162" s="75"/>
      <c r="E162" s="76"/>
      <c r="AG162" s="62"/>
      <c r="AH162" s="62"/>
      <c r="AI162" s="62"/>
      <c r="AK162" s="66" t="s">
        <v>367</v>
      </c>
      <c r="AL162" s="66">
        <v>495</v>
      </c>
      <c r="AN162" s="62" t="s">
        <v>210</v>
      </c>
      <c r="AO162" s="62" t="e">
        <v>#N/A</v>
      </c>
      <c r="AP162" s="62" t="e">
        <v>#N/A</v>
      </c>
      <c r="AQ162" s="62" t="e">
        <v>#N/A</v>
      </c>
      <c r="AR162" s="62" t="e">
        <v>#N/A</v>
      </c>
      <c r="AS162" s="62" t="e">
        <v>#N/A</v>
      </c>
      <c r="AT162" s="62" t="e">
        <v>#N/A</v>
      </c>
      <c r="AU162" s="62" t="e">
        <v>#N/A</v>
      </c>
      <c r="AV162" s="62" t="e">
        <v>#N/A</v>
      </c>
      <c r="AW162" s="62" t="e">
        <v>#N/A</v>
      </c>
      <c r="AX162" s="62" t="e">
        <v>#N/A</v>
      </c>
    </row>
    <row r="163" spans="4:50" s="66" customFormat="1">
      <c r="D163" s="75"/>
      <c r="E163" s="76"/>
      <c r="AG163" s="62"/>
      <c r="AH163" s="62"/>
      <c r="AI163" s="62"/>
      <c r="AK163" s="66" t="s">
        <v>368</v>
      </c>
      <c r="AL163" s="66">
        <v>500</v>
      </c>
      <c r="AN163" s="62" t="s">
        <v>210</v>
      </c>
      <c r="AO163" s="62" t="e">
        <v>#N/A</v>
      </c>
      <c r="AP163" s="62" t="e">
        <v>#N/A</v>
      </c>
      <c r="AQ163" s="62" t="e">
        <v>#N/A</v>
      </c>
      <c r="AR163" s="62" t="e">
        <v>#N/A</v>
      </c>
      <c r="AS163" s="62" t="e">
        <v>#N/A</v>
      </c>
      <c r="AT163" s="62" t="e">
        <v>#N/A</v>
      </c>
      <c r="AU163" s="62" t="e">
        <v>#N/A</v>
      </c>
      <c r="AV163" s="62" t="e">
        <v>#N/A</v>
      </c>
      <c r="AW163" s="62" t="e">
        <v>#N/A</v>
      </c>
      <c r="AX163" s="62" t="e">
        <v>#N/A</v>
      </c>
    </row>
    <row r="164" spans="4:50" s="66" customFormat="1">
      <c r="D164" s="75"/>
      <c r="E164" s="76"/>
      <c r="AG164" s="62"/>
      <c r="AH164" s="62"/>
      <c r="AI164" s="62"/>
      <c r="AK164" s="66" t="s">
        <v>369</v>
      </c>
      <c r="AL164" s="66">
        <v>505</v>
      </c>
      <c r="AN164" s="62" t="s">
        <v>210</v>
      </c>
      <c r="AO164" s="62" t="e">
        <v>#N/A</v>
      </c>
      <c r="AP164" s="62" t="e">
        <v>#N/A</v>
      </c>
      <c r="AQ164" s="62" t="e">
        <v>#N/A</v>
      </c>
      <c r="AR164" s="62" t="e">
        <v>#N/A</v>
      </c>
      <c r="AS164" s="62" t="e">
        <v>#N/A</v>
      </c>
      <c r="AT164" s="62" t="e">
        <v>#N/A</v>
      </c>
      <c r="AU164" s="62" t="e">
        <v>#N/A</v>
      </c>
      <c r="AV164" s="62" t="e">
        <v>#N/A</v>
      </c>
      <c r="AW164" s="62" t="e">
        <v>#N/A</v>
      </c>
      <c r="AX164" s="62" t="e">
        <v>#N/A</v>
      </c>
    </row>
    <row r="165" spans="4:50" s="66" customFormat="1">
      <c r="D165" s="75"/>
      <c r="E165" s="76"/>
      <c r="AG165" s="62"/>
      <c r="AH165" s="62"/>
      <c r="AI165" s="62"/>
      <c r="AK165" s="66" t="s">
        <v>370</v>
      </c>
      <c r="AL165" s="66">
        <v>510</v>
      </c>
      <c r="AN165" s="62" t="s">
        <v>210</v>
      </c>
      <c r="AO165" s="62" t="e">
        <v>#N/A</v>
      </c>
      <c r="AP165" s="62" t="e">
        <v>#N/A</v>
      </c>
      <c r="AQ165" s="62" t="e">
        <v>#N/A</v>
      </c>
      <c r="AR165" s="62" t="e">
        <v>#N/A</v>
      </c>
      <c r="AS165" s="62" t="e">
        <v>#N/A</v>
      </c>
      <c r="AT165" s="62" t="e">
        <v>#N/A</v>
      </c>
      <c r="AU165" s="62" t="e">
        <v>#N/A</v>
      </c>
      <c r="AV165" s="62" t="e">
        <v>#N/A</v>
      </c>
      <c r="AW165" s="62" t="e">
        <v>#N/A</v>
      </c>
      <c r="AX165" s="62" t="e">
        <v>#N/A</v>
      </c>
    </row>
    <row r="166" spans="4:50" s="66" customFormat="1">
      <c r="D166" s="75"/>
      <c r="E166" s="76"/>
      <c r="AG166" s="62"/>
      <c r="AH166" s="62"/>
      <c r="AI166" s="62"/>
      <c r="AK166" s="66" t="s">
        <v>371</v>
      </c>
      <c r="AL166" s="66">
        <v>515</v>
      </c>
      <c r="AN166" s="62" t="s">
        <v>210</v>
      </c>
      <c r="AO166" s="62" t="e">
        <v>#N/A</v>
      </c>
      <c r="AP166" s="62" t="e">
        <v>#N/A</v>
      </c>
      <c r="AQ166" s="62" t="e">
        <v>#N/A</v>
      </c>
      <c r="AR166" s="62" t="e">
        <v>#N/A</v>
      </c>
      <c r="AS166" s="62" t="e">
        <v>#N/A</v>
      </c>
      <c r="AT166" s="62" t="e">
        <v>#N/A</v>
      </c>
      <c r="AU166" s="62" t="e">
        <v>#N/A</v>
      </c>
      <c r="AV166" s="62" t="e">
        <v>#N/A</v>
      </c>
      <c r="AW166" s="62" t="e">
        <v>#N/A</v>
      </c>
      <c r="AX166" s="62" t="e">
        <v>#N/A</v>
      </c>
    </row>
    <row r="167" spans="4:50" s="66" customFormat="1">
      <c r="D167" s="75"/>
      <c r="E167" s="76"/>
      <c r="AG167" s="62"/>
      <c r="AH167" s="62"/>
      <c r="AI167" s="62"/>
      <c r="AK167" s="66" t="s">
        <v>372</v>
      </c>
      <c r="AL167" s="66">
        <v>520</v>
      </c>
      <c r="AN167" s="62" t="s">
        <v>210</v>
      </c>
      <c r="AO167" s="62" t="e">
        <v>#N/A</v>
      </c>
      <c r="AP167" s="62" t="e">
        <v>#N/A</v>
      </c>
      <c r="AQ167" s="62" t="e">
        <v>#N/A</v>
      </c>
      <c r="AR167" s="62" t="e">
        <v>#N/A</v>
      </c>
      <c r="AS167" s="62" t="e">
        <v>#N/A</v>
      </c>
      <c r="AT167" s="62" t="e">
        <v>#N/A</v>
      </c>
      <c r="AU167" s="62" t="e">
        <v>#N/A</v>
      </c>
      <c r="AV167" s="62" t="e">
        <v>#N/A</v>
      </c>
      <c r="AW167" s="62" t="e">
        <v>#N/A</v>
      </c>
      <c r="AX167" s="62" t="e">
        <v>#N/A</v>
      </c>
    </row>
    <row r="168" spans="4:50" s="66" customFormat="1">
      <c r="D168" s="75"/>
      <c r="E168" s="76"/>
      <c r="AG168" s="62"/>
      <c r="AH168" s="62"/>
      <c r="AI168" s="62"/>
      <c r="AK168" s="66" t="s">
        <v>373</v>
      </c>
      <c r="AL168" s="66">
        <v>525</v>
      </c>
      <c r="AN168" s="62" t="s">
        <v>210</v>
      </c>
      <c r="AO168" s="62" t="e">
        <v>#N/A</v>
      </c>
      <c r="AP168" s="62" t="e">
        <v>#N/A</v>
      </c>
      <c r="AQ168" s="62" t="e">
        <v>#N/A</v>
      </c>
      <c r="AR168" s="62" t="e">
        <v>#N/A</v>
      </c>
      <c r="AS168" s="62" t="e">
        <v>#N/A</v>
      </c>
      <c r="AT168" s="62" t="e">
        <v>#N/A</v>
      </c>
      <c r="AU168" s="62" t="e">
        <v>#N/A</v>
      </c>
      <c r="AV168" s="62" t="e">
        <v>#N/A</v>
      </c>
      <c r="AW168" s="62" t="e">
        <v>#N/A</v>
      </c>
      <c r="AX168" s="62" t="e">
        <v>#N/A</v>
      </c>
    </row>
    <row r="169" spans="4:50" s="66" customFormat="1">
      <c r="D169" s="75"/>
      <c r="E169" s="76"/>
      <c r="AG169" s="62"/>
      <c r="AH169" s="62"/>
      <c r="AI169" s="62"/>
      <c r="AK169" s="66" t="s">
        <v>374</v>
      </c>
      <c r="AL169" s="66">
        <v>530</v>
      </c>
      <c r="AN169" s="62" t="s">
        <v>210</v>
      </c>
      <c r="AO169" s="62" t="e">
        <v>#N/A</v>
      </c>
      <c r="AP169" s="62" t="e">
        <v>#N/A</v>
      </c>
      <c r="AQ169" s="62" t="e">
        <v>#N/A</v>
      </c>
      <c r="AR169" s="62" t="e">
        <v>#N/A</v>
      </c>
      <c r="AS169" s="62" t="e">
        <v>#N/A</v>
      </c>
      <c r="AT169" s="62" t="e">
        <v>#N/A</v>
      </c>
      <c r="AU169" s="62" t="e">
        <v>#N/A</v>
      </c>
      <c r="AV169" s="62" t="e">
        <v>#N/A</v>
      </c>
      <c r="AW169" s="62" t="e">
        <v>#N/A</v>
      </c>
      <c r="AX169" s="62" t="e">
        <v>#N/A</v>
      </c>
    </row>
    <row r="170" spans="4:50" s="66" customFormat="1">
      <c r="D170" s="75"/>
      <c r="E170" s="76"/>
      <c r="AG170" s="62"/>
      <c r="AH170" s="62"/>
      <c r="AI170" s="62"/>
      <c r="AK170" s="66" t="s">
        <v>375</v>
      </c>
      <c r="AL170" s="66">
        <v>535</v>
      </c>
      <c r="AN170" s="62" t="s">
        <v>210</v>
      </c>
      <c r="AO170" s="62" t="e">
        <v>#N/A</v>
      </c>
      <c r="AP170" s="62" t="e">
        <v>#N/A</v>
      </c>
      <c r="AQ170" s="62" t="e">
        <v>#N/A</v>
      </c>
      <c r="AR170" s="62" t="e">
        <v>#N/A</v>
      </c>
      <c r="AS170" s="62" t="e">
        <v>#N/A</v>
      </c>
      <c r="AT170" s="62" t="e">
        <v>#N/A</v>
      </c>
      <c r="AU170" s="62" t="e">
        <v>#N/A</v>
      </c>
      <c r="AV170" s="62" t="e">
        <v>#N/A</v>
      </c>
      <c r="AW170" s="62" t="e">
        <v>#N/A</v>
      </c>
      <c r="AX170" s="62" t="e">
        <v>#N/A</v>
      </c>
    </row>
    <row r="171" spans="4:50" s="66" customFormat="1">
      <c r="D171" s="75"/>
      <c r="E171" s="76"/>
      <c r="AG171" s="62"/>
      <c r="AH171" s="62"/>
      <c r="AI171" s="62"/>
      <c r="AK171" s="66" t="s">
        <v>376</v>
      </c>
      <c r="AL171" s="66">
        <v>540</v>
      </c>
      <c r="AN171" s="62" t="s">
        <v>210</v>
      </c>
      <c r="AO171" s="62" t="e">
        <v>#N/A</v>
      </c>
      <c r="AP171" s="62" t="e">
        <v>#N/A</v>
      </c>
      <c r="AQ171" s="62" t="e">
        <v>#N/A</v>
      </c>
      <c r="AR171" s="62" t="e">
        <v>#N/A</v>
      </c>
      <c r="AS171" s="62" t="e">
        <v>#N/A</v>
      </c>
      <c r="AT171" s="62" t="e">
        <v>#N/A</v>
      </c>
      <c r="AU171" s="62" t="e">
        <v>#N/A</v>
      </c>
      <c r="AV171" s="62" t="e">
        <v>#N/A</v>
      </c>
      <c r="AW171" s="62" t="e">
        <v>#N/A</v>
      </c>
      <c r="AX171" s="62" t="e">
        <v>#N/A</v>
      </c>
    </row>
    <row r="172" spans="4:50" s="66" customFormat="1">
      <c r="D172" s="75"/>
      <c r="E172" s="76"/>
      <c r="AG172" s="62"/>
      <c r="AH172" s="62"/>
      <c r="AI172" s="62"/>
      <c r="AK172" s="66" t="s">
        <v>377</v>
      </c>
      <c r="AL172" s="66">
        <v>545</v>
      </c>
      <c r="AN172" s="62" t="s">
        <v>210</v>
      </c>
      <c r="AO172" s="62" t="e">
        <v>#N/A</v>
      </c>
      <c r="AP172" s="62" t="e">
        <v>#N/A</v>
      </c>
      <c r="AQ172" s="62" t="e">
        <v>#N/A</v>
      </c>
      <c r="AR172" s="62" t="e">
        <v>#N/A</v>
      </c>
      <c r="AS172" s="62" t="e">
        <v>#N/A</v>
      </c>
      <c r="AT172" s="62" t="e">
        <v>#N/A</v>
      </c>
      <c r="AU172" s="62" t="e">
        <v>#N/A</v>
      </c>
      <c r="AV172" s="62" t="e">
        <v>#N/A</v>
      </c>
      <c r="AW172" s="62" t="e">
        <v>#N/A</v>
      </c>
      <c r="AX172" s="62" t="e">
        <v>#N/A</v>
      </c>
    </row>
    <row r="173" spans="4:50" s="66" customFormat="1">
      <c r="D173" s="75"/>
      <c r="E173" s="76"/>
      <c r="AG173" s="62"/>
      <c r="AH173" s="62"/>
      <c r="AI173" s="62"/>
      <c r="AK173" s="66" t="s">
        <v>378</v>
      </c>
      <c r="AL173" s="66">
        <v>550</v>
      </c>
      <c r="AN173" s="62" t="s">
        <v>210</v>
      </c>
      <c r="AO173" s="62" t="e">
        <v>#N/A</v>
      </c>
      <c r="AP173" s="62" t="e">
        <v>#N/A</v>
      </c>
      <c r="AQ173" s="62" t="e">
        <v>#N/A</v>
      </c>
      <c r="AR173" s="62" t="e">
        <v>#N/A</v>
      </c>
      <c r="AS173" s="62" t="e">
        <v>#N/A</v>
      </c>
      <c r="AT173" s="62" t="e">
        <v>#N/A</v>
      </c>
      <c r="AU173" s="62" t="e">
        <v>#N/A</v>
      </c>
      <c r="AV173" s="62" t="e">
        <v>#N/A</v>
      </c>
      <c r="AW173" s="62" t="e">
        <v>#N/A</v>
      </c>
      <c r="AX173" s="62" t="e">
        <v>#N/A</v>
      </c>
    </row>
    <row r="174" spans="4:50" s="66" customFormat="1">
      <c r="D174" s="75"/>
      <c r="E174" s="76"/>
      <c r="AG174" s="62"/>
      <c r="AH174" s="62"/>
      <c r="AI174" s="62"/>
      <c r="AK174" s="66" t="s">
        <v>379</v>
      </c>
      <c r="AL174" s="66">
        <v>555</v>
      </c>
      <c r="AN174" s="62" t="s">
        <v>210</v>
      </c>
      <c r="AO174" s="62" t="e">
        <v>#N/A</v>
      </c>
      <c r="AP174" s="62" t="e">
        <v>#N/A</v>
      </c>
      <c r="AQ174" s="62" t="e">
        <v>#N/A</v>
      </c>
      <c r="AR174" s="62" t="e">
        <v>#N/A</v>
      </c>
      <c r="AS174" s="62" t="e">
        <v>#N/A</v>
      </c>
      <c r="AT174" s="62" t="e">
        <v>#N/A</v>
      </c>
      <c r="AU174" s="62" t="e">
        <v>#N/A</v>
      </c>
      <c r="AV174" s="62" t="e">
        <v>#N/A</v>
      </c>
      <c r="AW174" s="62" t="e">
        <v>#N/A</v>
      </c>
      <c r="AX174" s="62" t="e">
        <v>#N/A</v>
      </c>
    </row>
    <row r="175" spans="4:50" s="66" customFormat="1">
      <c r="D175" s="75"/>
      <c r="E175" s="76"/>
      <c r="AG175" s="62"/>
      <c r="AH175" s="62"/>
      <c r="AI175" s="62"/>
      <c r="AK175" s="66" t="s">
        <v>380</v>
      </c>
      <c r="AL175" s="66">
        <v>560</v>
      </c>
      <c r="AN175" s="62" t="s">
        <v>210</v>
      </c>
      <c r="AO175" s="62" t="e">
        <v>#N/A</v>
      </c>
      <c r="AP175" s="62" t="e">
        <v>#N/A</v>
      </c>
      <c r="AQ175" s="62" t="e">
        <v>#N/A</v>
      </c>
      <c r="AR175" s="62" t="e">
        <v>#N/A</v>
      </c>
      <c r="AS175" s="62" t="e">
        <v>#N/A</v>
      </c>
      <c r="AT175" s="62" t="e">
        <v>#N/A</v>
      </c>
      <c r="AU175" s="62" t="e">
        <v>#N/A</v>
      </c>
      <c r="AV175" s="62" t="e">
        <v>#N/A</v>
      </c>
      <c r="AW175" s="62" t="e">
        <v>#N/A</v>
      </c>
      <c r="AX175" s="62" t="e">
        <v>#N/A</v>
      </c>
    </row>
    <row r="176" spans="4:50" s="66" customFormat="1">
      <c r="D176" s="75"/>
      <c r="E176" s="76"/>
      <c r="AG176" s="62"/>
      <c r="AH176" s="62"/>
      <c r="AI176" s="62"/>
      <c r="AK176" s="66" t="s">
        <v>381</v>
      </c>
      <c r="AL176" s="66">
        <v>565</v>
      </c>
      <c r="AN176" s="62" t="s">
        <v>210</v>
      </c>
      <c r="AO176" s="62" t="e">
        <v>#N/A</v>
      </c>
      <c r="AP176" s="62" t="e">
        <v>#N/A</v>
      </c>
      <c r="AQ176" s="62" t="e">
        <v>#N/A</v>
      </c>
      <c r="AR176" s="62" t="e">
        <v>#N/A</v>
      </c>
      <c r="AS176" s="62" t="e">
        <v>#N/A</v>
      </c>
      <c r="AT176" s="62" t="e">
        <v>#N/A</v>
      </c>
      <c r="AU176" s="62" t="e">
        <v>#N/A</v>
      </c>
      <c r="AV176" s="62" t="e">
        <v>#N/A</v>
      </c>
      <c r="AW176" s="62" t="e">
        <v>#N/A</v>
      </c>
      <c r="AX176" s="62" t="e">
        <v>#N/A</v>
      </c>
    </row>
    <row r="177" spans="4:50" s="66" customFormat="1">
      <c r="D177" s="75"/>
      <c r="E177" s="76"/>
      <c r="AG177" s="62"/>
      <c r="AH177" s="62"/>
      <c r="AI177" s="62"/>
      <c r="AK177" s="66" t="s">
        <v>382</v>
      </c>
      <c r="AL177" s="66">
        <v>570</v>
      </c>
      <c r="AN177" s="62" t="s">
        <v>210</v>
      </c>
      <c r="AO177" s="62" t="e">
        <v>#N/A</v>
      </c>
      <c r="AP177" s="62" t="e">
        <v>#N/A</v>
      </c>
      <c r="AQ177" s="62" t="e">
        <v>#N/A</v>
      </c>
      <c r="AR177" s="62" t="e">
        <v>#N/A</v>
      </c>
      <c r="AS177" s="62" t="e">
        <v>#N/A</v>
      </c>
      <c r="AT177" s="62" t="e">
        <v>#N/A</v>
      </c>
      <c r="AU177" s="62" t="e">
        <v>#N/A</v>
      </c>
      <c r="AV177" s="62" t="e">
        <v>#N/A</v>
      </c>
      <c r="AW177" s="62" t="e">
        <v>#N/A</v>
      </c>
      <c r="AX177" s="62" t="e">
        <v>#N/A</v>
      </c>
    </row>
    <row r="178" spans="4:50" s="66" customFormat="1">
      <c r="D178" s="75"/>
      <c r="E178" s="76"/>
      <c r="AG178" s="62"/>
      <c r="AH178" s="62"/>
      <c r="AI178" s="62"/>
      <c r="AK178" s="66" t="s">
        <v>383</v>
      </c>
      <c r="AL178" s="66">
        <v>575</v>
      </c>
      <c r="AN178" s="62" t="s">
        <v>210</v>
      </c>
      <c r="AO178" s="62" t="e">
        <v>#N/A</v>
      </c>
      <c r="AP178" s="62" t="e">
        <v>#N/A</v>
      </c>
      <c r="AQ178" s="62" t="e">
        <v>#N/A</v>
      </c>
      <c r="AR178" s="62" t="e">
        <v>#N/A</v>
      </c>
      <c r="AS178" s="62" t="e">
        <v>#N/A</v>
      </c>
      <c r="AT178" s="62" t="e">
        <v>#N/A</v>
      </c>
      <c r="AU178" s="62" t="e">
        <v>#N/A</v>
      </c>
      <c r="AV178" s="62" t="e">
        <v>#N/A</v>
      </c>
      <c r="AW178" s="62" t="e">
        <v>#N/A</v>
      </c>
      <c r="AX178" s="62" t="e">
        <v>#N/A</v>
      </c>
    </row>
    <row r="179" spans="4:50" s="66" customFormat="1">
      <c r="D179" s="75"/>
      <c r="E179" s="76"/>
      <c r="AG179" s="62"/>
      <c r="AH179" s="62"/>
      <c r="AI179" s="62"/>
      <c r="AK179" s="66" t="s">
        <v>384</v>
      </c>
      <c r="AL179" s="66">
        <v>580</v>
      </c>
      <c r="AN179" s="62" t="s">
        <v>210</v>
      </c>
      <c r="AO179" s="62" t="e">
        <v>#N/A</v>
      </c>
      <c r="AP179" s="62" t="e">
        <v>#N/A</v>
      </c>
      <c r="AQ179" s="62" t="e">
        <v>#N/A</v>
      </c>
      <c r="AR179" s="62" t="e">
        <v>#N/A</v>
      </c>
      <c r="AS179" s="62" t="e">
        <v>#N/A</v>
      </c>
      <c r="AT179" s="62" t="e">
        <v>#N/A</v>
      </c>
      <c r="AU179" s="62" t="e">
        <v>#N/A</v>
      </c>
      <c r="AV179" s="62" t="e">
        <v>#N/A</v>
      </c>
      <c r="AW179" s="62" t="e">
        <v>#N/A</v>
      </c>
      <c r="AX179" s="62" t="e">
        <v>#N/A</v>
      </c>
    </row>
    <row r="180" spans="4:50" s="66" customFormat="1">
      <c r="D180" s="75"/>
      <c r="E180" s="76"/>
      <c r="AG180" s="62"/>
      <c r="AH180" s="62"/>
      <c r="AI180" s="62"/>
      <c r="AK180" s="66" t="s">
        <v>385</v>
      </c>
      <c r="AL180" s="66">
        <v>585</v>
      </c>
      <c r="AN180" s="62" t="s">
        <v>210</v>
      </c>
      <c r="AO180" s="62" t="e">
        <v>#N/A</v>
      </c>
      <c r="AP180" s="62" t="e">
        <v>#N/A</v>
      </c>
      <c r="AQ180" s="62" t="e">
        <v>#N/A</v>
      </c>
      <c r="AR180" s="62" t="e">
        <v>#N/A</v>
      </c>
      <c r="AS180" s="62" t="e">
        <v>#N/A</v>
      </c>
      <c r="AT180" s="62" t="e">
        <v>#N/A</v>
      </c>
      <c r="AU180" s="62" t="e">
        <v>#N/A</v>
      </c>
      <c r="AV180" s="62" t="e">
        <v>#N/A</v>
      </c>
      <c r="AW180" s="62" t="e">
        <v>#N/A</v>
      </c>
      <c r="AX180" s="62" t="e">
        <v>#N/A</v>
      </c>
    </row>
    <row r="181" spans="4:50" s="66" customFormat="1">
      <c r="D181" s="75"/>
      <c r="E181" s="76"/>
      <c r="AG181" s="62"/>
      <c r="AH181" s="62"/>
      <c r="AI181" s="62"/>
      <c r="AK181" s="66" t="s">
        <v>386</v>
      </c>
      <c r="AL181" s="66">
        <v>590</v>
      </c>
      <c r="AN181" s="62" t="s">
        <v>210</v>
      </c>
      <c r="AO181" s="62" t="e">
        <v>#N/A</v>
      </c>
      <c r="AP181" s="62" t="e">
        <v>#N/A</v>
      </c>
      <c r="AQ181" s="62" t="e">
        <v>#N/A</v>
      </c>
      <c r="AR181" s="62" t="e">
        <v>#N/A</v>
      </c>
      <c r="AS181" s="62" t="e">
        <v>#N/A</v>
      </c>
      <c r="AT181" s="62" t="e">
        <v>#N/A</v>
      </c>
      <c r="AU181" s="62" t="e">
        <v>#N/A</v>
      </c>
      <c r="AV181" s="62" t="e">
        <v>#N/A</v>
      </c>
      <c r="AW181" s="62" t="e">
        <v>#N/A</v>
      </c>
      <c r="AX181" s="62" t="e">
        <v>#N/A</v>
      </c>
    </row>
    <row r="182" spans="4:50" s="66" customFormat="1">
      <c r="D182" s="75"/>
      <c r="E182" s="76"/>
      <c r="AG182" s="62"/>
      <c r="AH182" s="62"/>
      <c r="AI182" s="62"/>
      <c r="AK182" s="66" t="s">
        <v>387</v>
      </c>
      <c r="AL182" s="66">
        <v>595</v>
      </c>
      <c r="AN182" s="62" t="s">
        <v>210</v>
      </c>
      <c r="AO182" s="62" t="e">
        <v>#N/A</v>
      </c>
      <c r="AP182" s="62" t="e">
        <v>#N/A</v>
      </c>
      <c r="AQ182" s="62" t="e">
        <v>#N/A</v>
      </c>
      <c r="AR182" s="62" t="e">
        <v>#N/A</v>
      </c>
      <c r="AS182" s="62" t="e">
        <v>#N/A</v>
      </c>
      <c r="AT182" s="62" t="e">
        <v>#N/A</v>
      </c>
      <c r="AU182" s="62" t="e">
        <v>#N/A</v>
      </c>
      <c r="AV182" s="62" t="e">
        <v>#N/A</v>
      </c>
      <c r="AW182" s="62" t="e">
        <v>#N/A</v>
      </c>
      <c r="AX182" s="62" t="e">
        <v>#N/A</v>
      </c>
    </row>
    <row r="183" spans="4:50" s="66" customFormat="1">
      <c r="D183" s="75"/>
      <c r="E183" s="76"/>
      <c r="AG183" s="62"/>
      <c r="AH183" s="62"/>
      <c r="AI183" s="62"/>
      <c r="AK183" s="66" t="s">
        <v>388</v>
      </c>
      <c r="AL183" s="66">
        <v>600</v>
      </c>
      <c r="AN183" s="62" t="s">
        <v>210</v>
      </c>
      <c r="AO183" s="62" t="e">
        <v>#N/A</v>
      </c>
      <c r="AP183" s="62" t="e">
        <v>#N/A</v>
      </c>
      <c r="AQ183" s="62" t="e">
        <v>#N/A</v>
      </c>
      <c r="AR183" s="62" t="e">
        <v>#N/A</v>
      </c>
      <c r="AS183" s="62" t="e">
        <v>#N/A</v>
      </c>
      <c r="AT183" s="62" t="e">
        <v>#N/A</v>
      </c>
      <c r="AU183" s="62" t="e">
        <v>#N/A</v>
      </c>
      <c r="AV183" s="62" t="e">
        <v>#N/A</v>
      </c>
      <c r="AW183" s="62" t="e">
        <v>#N/A</v>
      </c>
      <c r="AX183" s="62" t="e">
        <v>#N/A</v>
      </c>
    </row>
    <row r="184" spans="4:50" s="66" customFormat="1">
      <c r="D184" s="75"/>
      <c r="E184" s="76"/>
      <c r="AG184" s="62"/>
      <c r="AH184" s="62"/>
      <c r="AI184" s="62"/>
      <c r="AK184" s="66" t="s">
        <v>389</v>
      </c>
      <c r="AL184" s="66">
        <v>605</v>
      </c>
      <c r="AN184" s="62" t="s">
        <v>210</v>
      </c>
      <c r="AO184" s="62" t="e">
        <v>#N/A</v>
      </c>
      <c r="AP184" s="62" t="e">
        <v>#N/A</v>
      </c>
      <c r="AQ184" s="62" t="e">
        <v>#N/A</v>
      </c>
      <c r="AR184" s="62" t="e">
        <v>#N/A</v>
      </c>
      <c r="AS184" s="62" t="e">
        <v>#N/A</v>
      </c>
      <c r="AT184" s="62" t="e">
        <v>#N/A</v>
      </c>
      <c r="AU184" s="62" t="e">
        <v>#N/A</v>
      </c>
      <c r="AV184" s="62" t="e">
        <v>#N/A</v>
      </c>
      <c r="AW184" s="62" t="e">
        <v>#N/A</v>
      </c>
      <c r="AX184" s="62" t="e">
        <v>#N/A</v>
      </c>
    </row>
    <row r="185" spans="4:50" s="66" customFormat="1">
      <c r="D185" s="75"/>
      <c r="E185" s="76"/>
      <c r="AG185" s="62"/>
      <c r="AH185" s="62"/>
      <c r="AI185" s="62"/>
      <c r="AK185" s="66" t="s">
        <v>390</v>
      </c>
      <c r="AL185" s="66">
        <v>610</v>
      </c>
      <c r="AN185" s="62" t="s">
        <v>210</v>
      </c>
      <c r="AO185" s="62" t="e">
        <v>#N/A</v>
      </c>
      <c r="AP185" s="62" t="e">
        <v>#N/A</v>
      </c>
      <c r="AQ185" s="62" t="e">
        <v>#N/A</v>
      </c>
      <c r="AR185" s="62" t="e">
        <v>#N/A</v>
      </c>
      <c r="AS185" s="62" t="e">
        <v>#N/A</v>
      </c>
      <c r="AT185" s="62" t="e">
        <v>#N/A</v>
      </c>
      <c r="AU185" s="62" t="e">
        <v>#N/A</v>
      </c>
      <c r="AV185" s="62" t="e">
        <v>#N/A</v>
      </c>
      <c r="AW185" s="62" t="e">
        <v>#N/A</v>
      </c>
      <c r="AX185" s="62" t="e">
        <v>#N/A</v>
      </c>
    </row>
    <row r="186" spans="4:50" s="66" customFormat="1">
      <c r="D186" s="75"/>
      <c r="E186" s="76"/>
      <c r="AG186" s="62"/>
      <c r="AH186" s="62"/>
      <c r="AI186" s="62"/>
      <c r="AK186" s="66" t="s">
        <v>391</v>
      </c>
      <c r="AL186" s="66">
        <v>615</v>
      </c>
      <c r="AN186" s="62" t="s">
        <v>210</v>
      </c>
      <c r="AO186" s="62" t="e">
        <v>#N/A</v>
      </c>
      <c r="AP186" s="62" t="e">
        <v>#N/A</v>
      </c>
      <c r="AQ186" s="62" t="e">
        <v>#N/A</v>
      </c>
      <c r="AR186" s="62" t="e">
        <v>#N/A</v>
      </c>
      <c r="AS186" s="62" t="e">
        <v>#N/A</v>
      </c>
      <c r="AT186" s="62" t="e">
        <v>#N/A</v>
      </c>
      <c r="AU186" s="62" t="e">
        <v>#N/A</v>
      </c>
      <c r="AV186" s="62" t="e">
        <v>#N/A</v>
      </c>
      <c r="AW186" s="62" t="e">
        <v>#N/A</v>
      </c>
      <c r="AX186" s="62" t="e">
        <v>#N/A</v>
      </c>
    </row>
    <row r="187" spans="4:50" s="66" customFormat="1">
      <c r="D187" s="75"/>
      <c r="E187" s="76"/>
      <c r="AG187" s="62"/>
      <c r="AH187" s="62"/>
      <c r="AI187" s="62"/>
      <c r="AK187" s="66" t="s">
        <v>392</v>
      </c>
      <c r="AL187" s="66">
        <v>620</v>
      </c>
      <c r="AN187" s="62" t="s">
        <v>210</v>
      </c>
      <c r="AO187" s="62" t="e">
        <v>#N/A</v>
      </c>
      <c r="AP187" s="62" t="e">
        <v>#N/A</v>
      </c>
      <c r="AQ187" s="62" t="e">
        <v>#N/A</v>
      </c>
      <c r="AR187" s="62" t="e">
        <v>#N/A</v>
      </c>
      <c r="AS187" s="62" t="e">
        <v>#N/A</v>
      </c>
      <c r="AT187" s="62" t="e">
        <v>#N/A</v>
      </c>
      <c r="AU187" s="62" t="e">
        <v>#N/A</v>
      </c>
      <c r="AV187" s="62" t="e">
        <v>#N/A</v>
      </c>
      <c r="AW187" s="62" t="e">
        <v>#N/A</v>
      </c>
      <c r="AX187" s="62" t="e">
        <v>#N/A</v>
      </c>
    </row>
    <row r="188" spans="4:50" s="66" customFormat="1">
      <c r="D188" s="75"/>
      <c r="E188" s="76"/>
      <c r="AG188" s="62"/>
      <c r="AH188" s="62"/>
      <c r="AI188" s="62"/>
      <c r="AK188" s="66" t="s">
        <v>393</v>
      </c>
      <c r="AL188" s="66">
        <v>625</v>
      </c>
      <c r="AN188" s="62" t="s">
        <v>210</v>
      </c>
      <c r="AO188" s="62" t="e">
        <v>#N/A</v>
      </c>
      <c r="AP188" s="62" t="e">
        <v>#N/A</v>
      </c>
      <c r="AQ188" s="62" t="e">
        <v>#N/A</v>
      </c>
      <c r="AR188" s="62" t="e">
        <v>#N/A</v>
      </c>
      <c r="AS188" s="62" t="e">
        <v>#N/A</v>
      </c>
      <c r="AT188" s="62" t="e">
        <v>#N/A</v>
      </c>
      <c r="AU188" s="62" t="e">
        <v>#N/A</v>
      </c>
      <c r="AV188" s="62" t="e">
        <v>#N/A</v>
      </c>
      <c r="AW188" s="62" t="e">
        <v>#N/A</v>
      </c>
      <c r="AX188" s="62" t="e">
        <v>#N/A</v>
      </c>
    </row>
    <row r="189" spans="4:50" s="66" customFormat="1">
      <c r="D189" s="75"/>
      <c r="E189" s="76"/>
      <c r="AG189" s="62"/>
      <c r="AH189" s="62"/>
      <c r="AI189" s="62"/>
      <c r="AK189" s="66" t="s">
        <v>394</v>
      </c>
      <c r="AL189" s="66">
        <v>630</v>
      </c>
      <c r="AN189" s="62" t="s">
        <v>210</v>
      </c>
      <c r="AO189" s="62" t="e">
        <v>#N/A</v>
      </c>
      <c r="AP189" s="62" t="e">
        <v>#N/A</v>
      </c>
      <c r="AQ189" s="62" t="e">
        <v>#N/A</v>
      </c>
      <c r="AR189" s="62" t="e">
        <v>#N/A</v>
      </c>
      <c r="AS189" s="62" t="e">
        <v>#N/A</v>
      </c>
      <c r="AT189" s="62" t="e">
        <v>#N/A</v>
      </c>
      <c r="AU189" s="62" t="e">
        <v>#N/A</v>
      </c>
      <c r="AV189" s="62" t="e">
        <v>#N/A</v>
      </c>
      <c r="AW189" s="62" t="e">
        <v>#N/A</v>
      </c>
      <c r="AX189" s="62" t="e">
        <v>#N/A</v>
      </c>
    </row>
    <row r="190" spans="4:50" s="66" customFormat="1">
      <c r="D190" s="75"/>
      <c r="E190" s="76"/>
      <c r="AG190" s="62"/>
      <c r="AH190" s="62"/>
      <c r="AI190" s="62"/>
      <c r="AK190" s="66" t="s">
        <v>395</v>
      </c>
      <c r="AL190" s="66">
        <v>635</v>
      </c>
      <c r="AN190" s="62" t="s">
        <v>210</v>
      </c>
      <c r="AO190" s="62" t="e">
        <v>#N/A</v>
      </c>
      <c r="AP190" s="62" t="e">
        <v>#N/A</v>
      </c>
      <c r="AQ190" s="62" t="e">
        <v>#N/A</v>
      </c>
      <c r="AR190" s="62" t="e">
        <v>#N/A</v>
      </c>
      <c r="AS190" s="62" t="e">
        <v>#N/A</v>
      </c>
      <c r="AT190" s="62" t="e">
        <v>#N/A</v>
      </c>
      <c r="AU190" s="62" t="e">
        <v>#N/A</v>
      </c>
      <c r="AV190" s="62" t="e">
        <v>#N/A</v>
      </c>
      <c r="AW190" s="62" t="e">
        <v>#N/A</v>
      </c>
      <c r="AX190" s="62" t="e">
        <v>#N/A</v>
      </c>
    </row>
    <row r="191" spans="4:50" s="66" customFormat="1">
      <c r="D191" s="75"/>
      <c r="E191" s="76"/>
      <c r="AG191" s="62"/>
      <c r="AH191" s="62"/>
      <c r="AI191" s="62"/>
      <c r="AK191" s="66" t="s">
        <v>396</v>
      </c>
      <c r="AL191" s="66">
        <v>640</v>
      </c>
      <c r="AN191" s="62" t="s">
        <v>210</v>
      </c>
      <c r="AO191" s="62" t="e">
        <v>#N/A</v>
      </c>
      <c r="AP191" s="62" t="e">
        <v>#N/A</v>
      </c>
      <c r="AQ191" s="62" t="e">
        <v>#N/A</v>
      </c>
      <c r="AR191" s="62" t="e">
        <v>#N/A</v>
      </c>
      <c r="AS191" s="62" t="e">
        <v>#N/A</v>
      </c>
      <c r="AT191" s="62" t="e">
        <v>#N/A</v>
      </c>
      <c r="AU191" s="62" t="e">
        <v>#N/A</v>
      </c>
      <c r="AV191" s="62" t="e">
        <v>#N/A</v>
      </c>
      <c r="AW191" s="62" t="e">
        <v>#N/A</v>
      </c>
      <c r="AX191" s="62" t="e">
        <v>#N/A</v>
      </c>
    </row>
    <row r="192" spans="4:50" s="66" customFormat="1">
      <c r="D192" s="75"/>
      <c r="E192" s="76"/>
      <c r="AG192" s="62"/>
      <c r="AH192" s="62"/>
      <c r="AI192" s="62"/>
      <c r="AK192" s="66" t="s">
        <v>397</v>
      </c>
      <c r="AL192" s="66">
        <v>645</v>
      </c>
      <c r="AN192" s="62" t="s">
        <v>210</v>
      </c>
      <c r="AO192" s="62" t="e">
        <v>#N/A</v>
      </c>
      <c r="AP192" s="62" t="e">
        <v>#N/A</v>
      </c>
      <c r="AQ192" s="62" t="e">
        <v>#N/A</v>
      </c>
      <c r="AR192" s="62" t="e">
        <v>#N/A</v>
      </c>
      <c r="AS192" s="62" t="e">
        <v>#N/A</v>
      </c>
      <c r="AT192" s="62" t="e">
        <v>#N/A</v>
      </c>
      <c r="AU192" s="62" t="e">
        <v>#N/A</v>
      </c>
      <c r="AV192" s="62" t="e">
        <v>#N/A</v>
      </c>
      <c r="AW192" s="62" t="e">
        <v>#N/A</v>
      </c>
      <c r="AX192" s="62" t="e">
        <v>#N/A</v>
      </c>
    </row>
    <row r="193" spans="4:50" s="66" customFormat="1">
      <c r="D193" s="75"/>
      <c r="E193" s="76"/>
      <c r="AG193" s="62"/>
      <c r="AH193" s="62"/>
      <c r="AI193" s="62"/>
      <c r="AK193" s="66" t="s">
        <v>398</v>
      </c>
      <c r="AL193" s="66">
        <v>650</v>
      </c>
      <c r="AN193" s="62" t="s">
        <v>210</v>
      </c>
      <c r="AO193" s="62" t="e">
        <v>#N/A</v>
      </c>
      <c r="AP193" s="62" t="e">
        <v>#N/A</v>
      </c>
      <c r="AQ193" s="62" t="e">
        <v>#N/A</v>
      </c>
      <c r="AR193" s="62" t="e">
        <v>#N/A</v>
      </c>
      <c r="AS193" s="62" t="e">
        <v>#N/A</v>
      </c>
      <c r="AT193" s="62" t="e">
        <v>#N/A</v>
      </c>
      <c r="AU193" s="62" t="e">
        <v>#N/A</v>
      </c>
      <c r="AV193" s="62" t="e">
        <v>#N/A</v>
      </c>
      <c r="AW193" s="62" t="e">
        <v>#N/A</v>
      </c>
      <c r="AX193" s="62" t="e">
        <v>#N/A</v>
      </c>
    </row>
    <row r="194" spans="4:50" s="66" customFormat="1">
      <c r="D194" s="75"/>
      <c r="E194" s="76"/>
      <c r="AG194" s="62"/>
      <c r="AH194" s="62"/>
      <c r="AI194" s="62"/>
      <c r="AK194" s="66" t="s">
        <v>399</v>
      </c>
      <c r="AL194" s="66">
        <v>655</v>
      </c>
      <c r="AN194" s="62" t="s">
        <v>210</v>
      </c>
      <c r="AO194" s="62" t="e">
        <v>#N/A</v>
      </c>
      <c r="AP194" s="62" t="e">
        <v>#N/A</v>
      </c>
      <c r="AQ194" s="62" t="e">
        <v>#N/A</v>
      </c>
      <c r="AR194" s="62" t="e">
        <v>#N/A</v>
      </c>
      <c r="AS194" s="62" t="e">
        <v>#N/A</v>
      </c>
      <c r="AT194" s="62" t="e">
        <v>#N/A</v>
      </c>
      <c r="AU194" s="62" t="e">
        <v>#N/A</v>
      </c>
      <c r="AV194" s="62" t="e">
        <v>#N/A</v>
      </c>
      <c r="AW194" s="62" t="e">
        <v>#N/A</v>
      </c>
      <c r="AX194" s="62" t="e">
        <v>#N/A</v>
      </c>
    </row>
    <row r="195" spans="4:50" s="66" customFormat="1">
      <c r="D195" s="75"/>
      <c r="E195" s="76"/>
      <c r="AG195" s="62"/>
      <c r="AH195" s="62"/>
      <c r="AI195" s="62"/>
      <c r="AK195" s="66" t="s">
        <v>400</v>
      </c>
      <c r="AL195" s="66">
        <v>660</v>
      </c>
      <c r="AN195" s="62" t="s">
        <v>210</v>
      </c>
      <c r="AO195" s="62" t="e">
        <v>#N/A</v>
      </c>
      <c r="AP195" s="62" t="e">
        <v>#N/A</v>
      </c>
      <c r="AQ195" s="62" t="e">
        <v>#N/A</v>
      </c>
      <c r="AR195" s="62" t="e">
        <v>#N/A</v>
      </c>
      <c r="AS195" s="62" t="e">
        <v>#N/A</v>
      </c>
      <c r="AT195" s="62" t="e">
        <v>#N/A</v>
      </c>
      <c r="AU195" s="62" t="e">
        <v>#N/A</v>
      </c>
      <c r="AV195" s="62" t="e">
        <v>#N/A</v>
      </c>
      <c r="AW195" s="62" t="e">
        <v>#N/A</v>
      </c>
      <c r="AX195" s="62" t="e">
        <v>#N/A</v>
      </c>
    </row>
    <row r="196" spans="4:50" s="66" customFormat="1">
      <c r="D196" s="75"/>
      <c r="E196" s="76"/>
      <c r="AG196" s="62"/>
      <c r="AH196" s="62"/>
      <c r="AI196" s="62"/>
      <c r="AK196" s="66" t="s">
        <v>401</v>
      </c>
      <c r="AL196" s="66">
        <v>665</v>
      </c>
      <c r="AN196" s="62" t="s">
        <v>210</v>
      </c>
      <c r="AO196" s="62" t="e">
        <v>#N/A</v>
      </c>
      <c r="AP196" s="62" t="e">
        <v>#N/A</v>
      </c>
      <c r="AQ196" s="62" t="e">
        <v>#N/A</v>
      </c>
      <c r="AR196" s="62" t="e">
        <v>#N/A</v>
      </c>
      <c r="AS196" s="62" t="e">
        <v>#N/A</v>
      </c>
      <c r="AT196" s="62" t="e">
        <v>#N/A</v>
      </c>
      <c r="AU196" s="62" t="e">
        <v>#N/A</v>
      </c>
      <c r="AV196" s="62" t="e">
        <v>#N/A</v>
      </c>
      <c r="AW196" s="62" t="e">
        <v>#N/A</v>
      </c>
      <c r="AX196" s="62" t="e">
        <v>#N/A</v>
      </c>
    </row>
    <row r="197" spans="4:50" s="66" customFormat="1">
      <c r="D197" s="75"/>
      <c r="E197" s="76"/>
      <c r="AG197" s="62"/>
      <c r="AH197" s="62"/>
      <c r="AI197" s="62"/>
      <c r="AK197" s="66" t="s">
        <v>402</v>
      </c>
      <c r="AL197" s="66">
        <v>670</v>
      </c>
      <c r="AN197" s="62" t="s">
        <v>210</v>
      </c>
      <c r="AO197" s="62" t="e">
        <v>#N/A</v>
      </c>
      <c r="AP197" s="62" t="e">
        <v>#N/A</v>
      </c>
      <c r="AQ197" s="62" t="e">
        <v>#N/A</v>
      </c>
      <c r="AR197" s="62" t="e">
        <v>#N/A</v>
      </c>
      <c r="AS197" s="62" t="e">
        <v>#N/A</v>
      </c>
      <c r="AT197" s="62" t="e">
        <v>#N/A</v>
      </c>
      <c r="AU197" s="62" t="e">
        <v>#N/A</v>
      </c>
      <c r="AV197" s="62" t="e">
        <v>#N/A</v>
      </c>
      <c r="AW197" s="62" t="e">
        <v>#N/A</v>
      </c>
      <c r="AX197" s="62" t="e">
        <v>#N/A</v>
      </c>
    </row>
    <row r="198" spans="4:50" s="66" customFormat="1">
      <c r="D198" s="75"/>
      <c r="E198" s="76"/>
      <c r="AG198" s="62"/>
      <c r="AH198" s="62"/>
      <c r="AI198" s="62"/>
      <c r="AK198" s="66" t="s">
        <v>403</v>
      </c>
      <c r="AL198" s="66">
        <v>675</v>
      </c>
      <c r="AN198" s="62" t="s">
        <v>210</v>
      </c>
      <c r="AO198" s="62" t="e">
        <v>#N/A</v>
      </c>
      <c r="AP198" s="62" t="e">
        <v>#N/A</v>
      </c>
      <c r="AQ198" s="62" t="e">
        <v>#N/A</v>
      </c>
      <c r="AR198" s="62" t="e">
        <v>#N/A</v>
      </c>
      <c r="AS198" s="62" t="e">
        <v>#N/A</v>
      </c>
      <c r="AT198" s="62" t="e">
        <v>#N/A</v>
      </c>
      <c r="AU198" s="62" t="e">
        <v>#N/A</v>
      </c>
      <c r="AV198" s="62" t="e">
        <v>#N/A</v>
      </c>
      <c r="AW198" s="62" t="e">
        <v>#N/A</v>
      </c>
      <c r="AX198" s="62" t="e">
        <v>#N/A</v>
      </c>
    </row>
    <row r="199" spans="4:50" s="66" customFormat="1">
      <c r="D199" s="75"/>
      <c r="E199" s="76"/>
      <c r="AG199" s="62"/>
      <c r="AH199" s="62"/>
      <c r="AI199" s="62"/>
      <c r="AK199" s="66" t="s">
        <v>404</v>
      </c>
      <c r="AL199" s="66">
        <v>680</v>
      </c>
      <c r="AN199" s="62" t="s">
        <v>210</v>
      </c>
      <c r="AO199" s="62" t="e">
        <v>#N/A</v>
      </c>
      <c r="AP199" s="62" t="e">
        <v>#N/A</v>
      </c>
      <c r="AQ199" s="62" t="e">
        <v>#N/A</v>
      </c>
      <c r="AR199" s="62" t="e">
        <v>#N/A</v>
      </c>
      <c r="AS199" s="62" t="e">
        <v>#N/A</v>
      </c>
      <c r="AT199" s="62" t="e">
        <v>#N/A</v>
      </c>
      <c r="AU199" s="62" t="e">
        <v>#N/A</v>
      </c>
      <c r="AV199" s="62" t="e">
        <v>#N/A</v>
      </c>
      <c r="AW199" s="62" t="e">
        <v>#N/A</v>
      </c>
      <c r="AX199" s="62" t="e">
        <v>#N/A</v>
      </c>
    </row>
    <row r="200" spans="4:50" s="66" customFormat="1">
      <c r="D200" s="75"/>
      <c r="E200" s="76"/>
      <c r="AG200" s="62"/>
      <c r="AH200" s="62"/>
      <c r="AI200" s="62"/>
      <c r="AK200" s="66" t="s">
        <v>405</v>
      </c>
      <c r="AL200" s="66">
        <v>685</v>
      </c>
      <c r="AN200" s="62" t="s">
        <v>210</v>
      </c>
      <c r="AO200" s="62" t="e">
        <v>#N/A</v>
      </c>
      <c r="AP200" s="62" t="e">
        <v>#N/A</v>
      </c>
      <c r="AQ200" s="62" t="e">
        <v>#N/A</v>
      </c>
      <c r="AR200" s="62" t="e">
        <v>#N/A</v>
      </c>
      <c r="AS200" s="62" t="e">
        <v>#N/A</v>
      </c>
      <c r="AT200" s="62" t="e">
        <v>#N/A</v>
      </c>
      <c r="AU200" s="62" t="e">
        <v>#N/A</v>
      </c>
      <c r="AV200" s="62" t="e">
        <v>#N/A</v>
      </c>
      <c r="AW200" s="62" t="e">
        <v>#N/A</v>
      </c>
      <c r="AX200" s="62" t="e">
        <v>#N/A</v>
      </c>
    </row>
    <row r="201" spans="4:50" s="66" customFormat="1">
      <c r="D201" s="75"/>
      <c r="E201" s="76"/>
      <c r="AG201" s="62"/>
      <c r="AH201" s="62"/>
      <c r="AI201" s="62"/>
      <c r="AK201" s="66" t="s">
        <v>406</v>
      </c>
      <c r="AL201" s="66">
        <v>690</v>
      </c>
      <c r="AN201" s="62" t="s">
        <v>210</v>
      </c>
      <c r="AO201" s="62" t="e">
        <v>#N/A</v>
      </c>
      <c r="AP201" s="62" t="e">
        <v>#N/A</v>
      </c>
      <c r="AQ201" s="62" t="e">
        <v>#N/A</v>
      </c>
      <c r="AR201" s="62" t="e">
        <v>#N/A</v>
      </c>
      <c r="AS201" s="62" t="e">
        <v>#N/A</v>
      </c>
      <c r="AT201" s="62" t="e">
        <v>#N/A</v>
      </c>
      <c r="AU201" s="62" t="e">
        <v>#N/A</v>
      </c>
      <c r="AV201" s="62" t="e">
        <v>#N/A</v>
      </c>
      <c r="AW201" s="62" t="e">
        <v>#N/A</v>
      </c>
      <c r="AX201" s="62" t="e">
        <v>#N/A</v>
      </c>
    </row>
    <row r="202" spans="4:50" s="66" customFormat="1">
      <c r="D202" s="75"/>
      <c r="E202" s="76"/>
      <c r="AG202" s="62"/>
      <c r="AH202" s="62"/>
      <c r="AI202" s="62"/>
      <c r="AK202" s="66" t="s">
        <v>407</v>
      </c>
      <c r="AL202" s="66">
        <v>695</v>
      </c>
      <c r="AN202" s="62" t="s">
        <v>210</v>
      </c>
      <c r="AO202" s="62" t="e">
        <v>#N/A</v>
      </c>
      <c r="AP202" s="62" t="e">
        <v>#N/A</v>
      </c>
      <c r="AQ202" s="62" t="e">
        <v>#N/A</v>
      </c>
      <c r="AR202" s="62" t="e">
        <v>#N/A</v>
      </c>
      <c r="AS202" s="62" t="e">
        <v>#N/A</v>
      </c>
      <c r="AT202" s="62" t="e">
        <v>#N/A</v>
      </c>
      <c r="AU202" s="62" t="e">
        <v>#N/A</v>
      </c>
      <c r="AV202" s="62" t="e">
        <v>#N/A</v>
      </c>
      <c r="AW202" s="62" t="e">
        <v>#N/A</v>
      </c>
      <c r="AX202" s="62" t="e">
        <v>#N/A</v>
      </c>
    </row>
    <row r="203" spans="4:50" s="66" customFormat="1">
      <c r="D203" s="75"/>
      <c r="E203" s="76"/>
      <c r="AG203" s="62"/>
      <c r="AH203" s="62"/>
      <c r="AI203" s="62"/>
      <c r="AK203" s="66" t="s">
        <v>408</v>
      </c>
      <c r="AL203" s="66">
        <v>700</v>
      </c>
      <c r="AN203" s="62" t="s">
        <v>210</v>
      </c>
      <c r="AO203" s="62" t="e">
        <v>#N/A</v>
      </c>
      <c r="AP203" s="62" t="e">
        <v>#N/A</v>
      </c>
      <c r="AQ203" s="62" t="e">
        <v>#N/A</v>
      </c>
      <c r="AR203" s="62" t="e">
        <v>#N/A</v>
      </c>
      <c r="AS203" s="62" t="e">
        <v>#N/A</v>
      </c>
      <c r="AT203" s="62" t="e">
        <v>#N/A</v>
      </c>
      <c r="AU203" s="62" t="e">
        <v>#N/A</v>
      </c>
      <c r="AV203" s="62" t="e">
        <v>#N/A</v>
      </c>
      <c r="AW203" s="62" t="e">
        <v>#N/A</v>
      </c>
      <c r="AX203" s="62" t="e">
        <v>#N/A</v>
      </c>
    </row>
    <row r="204" spans="4:50" s="66" customFormat="1">
      <c r="D204" s="75"/>
      <c r="E204" s="76"/>
      <c r="AG204" s="62"/>
      <c r="AH204" s="62"/>
      <c r="AI204" s="62"/>
      <c r="AK204" s="66" t="s">
        <v>409</v>
      </c>
      <c r="AL204" s="66">
        <v>705</v>
      </c>
      <c r="AN204" s="62" t="s">
        <v>210</v>
      </c>
      <c r="AO204" s="62" t="e">
        <v>#N/A</v>
      </c>
      <c r="AP204" s="62" t="e">
        <v>#N/A</v>
      </c>
      <c r="AQ204" s="62" t="e">
        <v>#N/A</v>
      </c>
      <c r="AR204" s="62" t="e">
        <v>#N/A</v>
      </c>
      <c r="AS204" s="62" t="e">
        <v>#N/A</v>
      </c>
      <c r="AT204" s="62" t="e">
        <v>#N/A</v>
      </c>
      <c r="AU204" s="62" t="e">
        <v>#N/A</v>
      </c>
      <c r="AV204" s="62" t="e">
        <v>#N/A</v>
      </c>
      <c r="AW204" s="62" t="e">
        <v>#N/A</v>
      </c>
      <c r="AX204" s="62" t="e">
        <v>#N/A</v>
      </c>
    </row>
    <row r="205" spans="4:50" s="66" customFormat="1">
      <c r="D205" s="75"/>
      <c r="E205" s="76"/>
      <c r="AG205" s="62"/>
      <c r="AH205" s="62"/>
      <c r="AI205" s="62"/>
      <c r="AK205" s="66" t="s">
        <v>410</v>
      </c>
      <c r="AL205" s="66">
        <v>710</v>
      </c>
      <c r="AN205" s="62" t="s">
        <v>210</v>
      </c>
      <c r="AO205" s="62" t="e">
        <v>#N/A</v>
      </c>
      <c r="AP205" s="62" t="e">
        <v>#N/A</v>
      </c>
      <c r="AQ205" s="62" t="e">
        <v>#N/A</v>
      </c>
      <c r="AR205" s="62" t="e">
        <v>#N/A</v>
      </c>
      <c r="AS205" s="62" t="e">
        <v>#N/A</v>
      </c>
      <c r="AT205" s="62" t="e">
        <v>#N/A</v>
      </c>
      <c r="AU205" s="62" t="e">
        <v>#N/A</v>
      </c>
      <c r="AV205" s="62" t="e">
        <v>#N/A</v>
      </c>
      <c r="AW205" s="62" t="e">
        <v>#N/A</v>
      </c>
      <c r="AX205" s="62" t="e">
        <v>#N/A</v>
      </c>
    </row>
    <row r="206" spans="4:50" s="66" customFormat="1">
      <c r="D206" s="75"/>
      <c r="E206" s="76"/>
      <c r="AG206" s="62"/>
      <c r="AH206" s="62"/>
      <c r="AI206" s="62"/>
      <c r="AK206" s="66" t="s">
        <v>411</v>
      </c>
      <c r="AL206" s="66">
        <v>715</v>
      </c>
      <c r="AN206" s="62" t="s">
        <v>210</v>
      </c>
      <c r="AO206" s="62" t="e">
        <v>#N/A</v>
      </c>
      <c r="AP206" s="62" t="e">
        <v>#N/A</v>
      </c>
      <c r="AQ206" s="62" t="e">
        <v>#N/A</v>
      </c>
      <c r="AR206" s="62" t="e">
        <v>#N/A</v>
      </c>
      <c r="AS206" s="62" t="e">
        <v>#N/A</v>
      </c>
      <c r="AT206" s="62" t="e">
        <v>#N/A</v>
      </c>
      <c r="AU206" s="62" t="e">
        <v>#N/A</v>
      </c>
      <c r="AV206" s="62" t="e">
        <v>#N/A</v>
      </c>
      <c r="AW206" s="62" t="e">
        <v>#N/A</v>
      </c>
      <c r="AX206" s="62" t="e">
        <v>#N/A</v>
      </c>
    </row>
    <row r="207" spans="4:50" s="66" customFormat="1">
      <c r="D207" s="75"/>
      <c r="E207" s="76"/>
      <c r="AG207" s="62"/>
      <c r="AH207" s="62"/>
      <c r="AI207" s="62"/>
      <c r="AK207" s="66" t="s">
        <v>412</v>
      </c>
      <c r="AL207" s="66">
        <v>720</v>
      </c>
      <c r="AN207" s="62" t="s">
        <v>210</v>
      </c>
      <c r="AO207" s="62" t="e">
        <v>#N/A</v>
      </c>
      <c r="AP207" s="62" t="e">
        <v>#N/A</v>
      </c>
      <c r="AQ207" s="62" t="e">
        <v>#N/A</v>
      </c>
      <c r="AR207" s="62" t="e">
        <v>#N/A</v>
      </c>
      <c r="AS207" s="62" t="e">
        <v>#N/A</v>
      </c>
      <c r="AT207" s="62" t="e">
        <v>#N/A</v>
      </c>
      <c r="AU207" s="62" t="e">
        <v>#N/A</v>
      </c>
      <c r="AV207" s="62" t="e">
        <v>#N/A</v>
      </c>
      <c r="AW207" s="62" t="e">
        <v>#N/A</v>
      </c>
      <c r="AX207" s="62" t="e">
        <v>#N/A</v>
      </c>
    </row>
    <row r="208" spans="4:50" s="66" customFormat="1">
      <c r="D208" s="75"/>
      <c r="E208" s="76"/>
      <c r="AG208" s="62"/>
      <c r="AH208" s="62"/>
      <c r="AI208" s="62"/>
      <c r="AK208" s="66" t="s">
        <v>413</v>
      </c>
      <c r="AL208" s="66">
        <v>725</v>
      </c>
      <c r="AN208" s="62" t="s">
        <v>210</v>
      </c>
      <c r="AO208" s="62" t="e">
        <v>#N/A</v>
      </c>
      <c r="AP208" s="62" t="e">
        <v>#N/A</v>
      </c>
      <c r="AQ208" s="62" t="e">
        <v>#N/A</v>
      </c>
      <c r="AR208" s="62" t="e">
        <v>#N/A</v>
      </c>
      <c r="AS208" s="62" t="e">
        <v>#N/A</v>
      </c>
      <c r="AT208" s="62" t="e">
        <v>#N/A</v>
      </c>
      <c r="AU208" s="62" t="e">
        <v>#N/A</v>
      </c>
      <c r="AV208" s="62" t="e">
        <v>#N/A</v>
      </c>
      <c r="AW208" s="62" t="e">
        <v>#N/A</v>
      </c>
      <c r="AX208" s="62" t="e">
        <v>#N/A</v>
      </c>
    </row>
    <row r="209" spans="4:50" s="66" customFormat="1">
      <c r="D209" s="75"/>
      <c r="E209" s="76"/>
      <c r="AG209" s="62"/>
      <c r="AH209" s="62"/>
      <c r="AI209" s="62"/>
      <c r="AK209" s="66" t="s">
        <v>414</v>
      </c>
      <c r="AL209" s="66">
        <v>730</v>
      </c>
      <c r="AN209" s="62" t="s">
        <v>210</v>
      </c>
      <c r="AO209" s="62" t="e">
        <v>#N/A</v>
      </c>
      <c r="AP209" s="62" t="e">
        <v>#N/A</v>
      </c>
      <c r="AQ209" s="62" t="e">
        <v>#N/A</v>
      </c>
      <c r="AR209" s="62" t="e">
        <v>#N/A</v>
      </c>
      <c r="AS209" s="62" t="e">
        <v>#N/A</v>
      </c>
      <c r="AT209" s="62" t="e">
        <v>#N/A</v>
      </c>
      <c r="AU209" s="62" t="e">
        <v>#N/A</v>
      </c>
      <c r="AV209" s="62" t="e">
        <v>#N/A</v>
      </c>
      <c r="AW209" s="62" t="e">
        <v>#N/A</v>
      </c>
      <c r="AX209" s="62" t="e">
        <v>#N/A</v>
      </c>
    </row>
    <row r="210" spans="4:50" s="66" customFormat="1">
      <c r="D210" s="75"/>
      <c r="E210" s="76"/>
      <c r="AG210" s="62"/>
      <c r="AH210" s="62"/>
      <c r="AI210" s="62"/>
      <c r="AK210" s="66" t="s">
        <v>415</v>
      </c>
      <c r="AL210" s="66">
        <v>735</v>
      </c>
      <c r="AN210" s="62" t="s">
        <v>210</v>
      </c>
      <c r="AO210" s="62" t="e">
        <v>#N/A</v>
      </c>
      <c r="AP210" s="62" t="e">
        <v>#N/A</v>
      </c>
      <c r="AQ210" s="62" t="e">
        <v>#N/A</v>
      </c>
      <c r="AR210" s="62" t="e">
        <v>#N/A</v>
      </c>
      <c r="AS210" s="62" t="e">
        <v>#N/A</v>
      </c>
      <c r="AT210" s="62" t="e">
        <v>#N/A</v>
      </c>
      <c r="AU210" s="62" t="e">
        <v>#N/A</v>
      </c>
      <c r="AV210" s="62" t="e">
        <v>#N/A</v>
      </c>
      <c r="AW210" s="62" t="e">
        <v>#N/A</v>
      </c>
      <c r="AX210" s="62" t="e">
        <v>#N/A</v>
      </c>
    </row>
    <row r="211" spans="4:50" s="66" customFormat="1">
      <c r="D211" s="75"/>
      <c r="E211" s="76"/>
      <c r="AG211" s="62"/>
      <c r="AH211" s="62"/>
      <c r="AI211" s="62"/>
      <c r="AK211" s="66" t="s">
        <v>416</v>
      </c>
      <c r="AL211" s="66">
        <v>740</v>
      </c>
      <c r="AN211" s="62" t="s">
        <v>210</v>
      </c>
      <c r="AO211" s="62" t="e">
        <v>#N/A</v>
      </c>
      <c r="AP211" s="62" t="e">
        <v>#N/A</v>
      </c>
      <c r="AQ211" s="62" t="e">
        <v>#N/A</v>
      </c>
      <c r="AR211" s="62" t="e">
        <v>#N/A</v>
      </c>
      <c r="AS211" s="62" t="e">
        <v>#N/A</v>
      </c>
      <c r="AT211" s="62" t="e">
        <v>#N/A</v>
      </c>
      <c r="AU211" s="62" t="e">
        <v>#N/A</v>
      </c>
      <c r="AV211" s="62" t="e">
        <v>#N/A</v>
      </c>
      <c r="AW211" s="62" t="e">
        <v>#N/A</v>
      </c>
      <c r="AX211" s="62" t="e">
        <v>#N/A</v>
      </c>
    </row>
    <row r="212" spans="4:50" s="66" customFormat="1">
      <c r="D212" s="75"/>
      <c r="E212" s="76"/>
      <c r="AG212" s="62"/>
      <c r="AH212" s="62"/>
      <c r="AI212" s="62"/>
      <c r="AK212" s="66" t="s">
        <v>417</v>
      </c>
      <c r="AL212" s="66">
        <v>745</v>
      </c>
      <c r="AN212" s="62" t="s">
        <v>210</v>
      </c>
      <c r="AO212" s="62" t="e">
        <v>#N/A</v>
      </c>
      <c r="AP212" s="62" t="e">
        <v>#N/A</v>
      </c>
      <c r="AQ212" s="62" t="e">
        <v>#N/A</v>
      </c>
      <c r="AR212" s="62" t="e">
        <v>#N/A</v>
      </c>
      <c r="AS212" s="62" t="e">
        <v>#N/A</v>
      </c>
      <c r="AT212" s="62" t="e">
        <v>#N/A</v>
      </c>
      <c r="AU212" s="62" t="e">
        <v>#N/A</v>
      </c>
      <c r="AV212" s="62" t="e">
        <v>#N/A</v>
      </c>
      <c r="AW212" s="62" t="e">
        <v>#N/A</v>
      </c>
      <c r="AX212" s="62" t="e">
        <v>#N/A</v>
      </c>
    </row>
    <row r="213" spans="4:50" s="66" customFormat="1">
      <c r="D213" s="75"/>
      <c r="E213" s="76"/>
      <c r="AG213" s="62"/>
      <c r="AH213" s="62"/>
      <c r="AI213" s="62"/>
      <c r="AK213" s="66" t="s">
        <v>418</v>
      </c>
      <c r="AL213" s="66">
        <v>750</v>
      </c>
      <c r="AN213" s="62" t="s">
        <v>210</v>
      </c>
      <c r="AO213" s="62" t="e">
        <v>#N/A</v>
      </c>
      <c r="AP213" s="62" t="e">
        <v>#N/A</v>
      </c>
      <c r="AQ213" s="62" t="e">
        <v>#N/A</v>
      </c>
      <c r="AR213" s="62" t="e">
        <v>#N/A</v>
      </c>
      <c r="AS213" s="62" t="e">
        <v>#N/A</v>
      </c>
      <c r="AT213" s="62" t="e">
        <v>#N/A</v>
      </c>
      <c r="AU213" s="62" t="e">
        <v>#N/A</v>
      </c>
      <c r="AV213" s="62" t="e">
        <v>#N/A</v>
      </c>
      <c r="AW213" s="62" t="e">
        <v>#N/A</v>
      </c>
      <c r="AX213" s="62" t="e">
        <v>#N/A</v>
      </c>
    </row>
    <row r="214" spans="4:50" s="66" customFormat="1">
      <c r="D214" s="75"/>
      <c r="E214" s="76"/>
      <c r="AG214" s="62"/>
      <c r="AH214" s="62"/>
      <c r="AI214" s="62"/>
      <c r="AK214" s="66" t="s">
        <v>419</v>
      </c>
      <c r="AL214" s="66">
        <v>755</v>
      </c>
      <c r="AN214" s="62" t="s">
        <v>210</v>
      </c>
      <c r="AO214" s="62" t="e">
        <v>#N/A</v>
      </c>
      <c r="AP214" s="62" t="e">
        <v>#N/A</v>
      </c>
      <c r="AQ214" s="62" t="e">
        <v>#N/A</v>
      </c>
      <c r="AR214" s="62" t="e">
        <v>#N/A</v>
      </c>
      <c r="AS214" s="62" t="e">
        <v>#N/A</v>
      </c>
      <c r="AT214" s="62" t="e">
        <v>#N/A</v>
      </c>
      <c r="AU214" s="62" t="e">
        <v>#N/A</v>
      </c>
      <c r="AV214" s="62" t="e">
        <v>#N/A</v>
      </c>
      <c r="AW214" s="62" t="e">
        <v>#N/A</v>
      </c>
      <c r="AX214" s="62" t="e">
        <v>#N/A</v>
      </c>
    </row>
    <row r="215" spans="4:50" s="66" customFormat="1">
      <c r="D215" s="75"/>
      <c r="E215" s="76"/>
      <c r="AG215" s="62"/>
      <c r="AH215" s="62"/>
      <c r="AI215" s="62"/>
      <c r="AK215" s="66" t="s">
        <v>420</v>
      </c>
      <c r="AL215" s="66">
        <v>760</v>
      </c>
      <c r="AN215" s="62" t="s">
        <v>210</v>
      </c>
      <c r="AO215" s="62" t="e">
        <v>#N/A</v>
      </c>
      <c r="AP215" s="62" t="e">
        <v>#N/A</v>
      </c>
      <c r="AQ215" s="62" t="e">
        <v>#N/A</v>
      </c>
      <c r="AR215" s="62" t="e">
        <v>#N/A</v>
      </c>
      <c r="AS215" s="62" t="e">
        <v>#N/A</v>
      </c>
      <c r="AT215" s="62" t="e">
        <v>#N/A</v>
      </c>
      <c r="AU215" s="62" t="e">
        <v>#N/A</v>
      </c>
      <c r="AV215" s="62" t="e">
        <v>#N/A</v>
      </c>
      <c r="AW215" s="62" t="e">
        <v>#N/A</v>
      </c>
      <c r="AX215" s="62" t="e">
        <v>#N/A</v>
      </c>
    </row>
    <row r="216" spans="4:50" s="66" customFormat="1">
      <c r="D216" s="75"/>
      <c r="E216" s="76"/>
      <c r="AG216" s="62"/>
      <c r="AH216" s="62"/>
      <c r="AI216" s="62"/>
      <c r="AK216" s="66" t="s">
        <v>421</v>
      </c>
      <c r="AL216" s="66">
        <v>765</v>
      </c>
      <c r="AN216" s="62" t="s">
        <v>210</v>
      </c>
      <c r="AO216" s="62" t="e">
        <v>#N/A</v>
      </c>
      <c r="AP216" s="62" t="e">
        <v>#N/A</v>
      </c>
      <c r="AQ216" s="62" t="e">
        <v>#N/A</v>
      </c>
      <c r="AR216" s="62" t="e">
        <v>#N/A</v>
      </c>
      <c r="AS216" s="62" t="e">
        <v>#N/A</v>
      </c>
      <c r="AT216" s="62" t="e">
        <v>#N/A</v>
      </c>
      <c r="AU216" s="62" t="e">
        <v>#N/A</v>
      </c>
      <c r="AV216" s="62" t="e">
        <v>#N/A</v>
      </c>
      <c r="AW216" s="62" t="e">
        <v>#N/A</v>
      </c>
      <c r="AX216" s="62" t="e">
        <v>#N/A</v>
      </c>
    </row>
    <row r="217" spans="4:50" s="66" customFormat="1">
      <c r="D217" s="75"/>
      <c r="E217" s="76"/>
      <c r="AG217" s="62"/>
      <c r="AH217" s="62"/>
      <c r="AI217" s="62"/>
      <c r="AK217" s="66" t="s">
        <v>422</v>
      </c>
      <c r="AL217" s="66">
        <v>770</v>
      </c>
      <c r="AN217" s="62" t="s">
        <v>210</v>
      </c>
      <c r="AO217" s="62" t="e">
        <v>#N/A</v>
      </c>
      <c r="AP217" s="62" t="e">
        <v>#N/A</v>
      </c>
      <c r="AQ217" s="62" t="e">
        <v>#N/A</v>
      </c>
      <c r="AR217" s="62" t="e">
        <v>#N/A</v>
      </c>
      <c r="AS217" s="62" t="e">
        <v>#N/A</v>
      </c>
      <c r="AT217" s="62" t="e">
        <v>#N/A</v>
      </c>
      <c r="AU217" s="62" t="e">
        <v>#N/A</v>
      </c>
      <c r="AV217" s="62" t="e">
        <v>#N/A</v>
      </c>
      <c r="AW217" s="62" t="e">
        <v>#N/A</v>
      </c>
      <c r="AX217" s="62" t="e">
        <v>#N/A</v>
      </c>
    </row>
    <row r="218" spans="4:50" s="66" customFormat="1">
      <c r="D218" s="75"/>
      <c r="E218" s="76"/>
      <c r="AG218" s="62"/>
      <c r="AH218" s="62"/>
      <c r="AI218" s="62"/>
      <c r="AK218" s="66" t="s">
        <v>423</v>
      </c>
      <c r="AL218" s="66">
        <v>775</v>
      </c>
      <c r="AN218" s="62" t="s">
        <v>210</v>
      </c>
      <c r="AO218" s="62" t="e">
        <v>#N/A</v>
      </c>
      <c r="AP218" s="62" t="e">
        <v>#N/A</v>
      </c>
      <c r="AQ218" s="62" t="e">
        <v>#N/A</v>
      </c>
      <c r="AR218" s="62" t="e">
        <v>#N/A</v>
      </c>
      <c r="AS218" s="62" t="e">
        <v>#N/A</v>
      </c>
      <c r="AT218" s="62" t="e">
        <v>#N/A</v>
      </c>
      <c r="AU218" s="62" t="e">
        <v>#N/A</v>
      </c>
      <c r="AV218" s="62" t="e">
        <v>#N/A</v>
      </c>
      <c r="AW218" s="62" t="e">
        <v>#N/A</v>
      </c>
      <c r="AX218" s="62" t="e">
        <v>#N/A</v>
      </c>
    </row>
    <row r="219" spans="4:50" s="66" customFormat="1">
      <c r="D219" s="75"/>
      <c r="E219" s="76"/>
      <c r="AG219" s="62"/>
      <c r="AH219" s="62"/>
      <c r="AI219" s="62"/>
      <c r="AK219" s="66" t="s">
        <v>424</v>
      </c>
      <c r="AL219" s="66">
        <v>780</v>
      </c>
      <c r="AN219" s="62" t="s">
        <v>210</v>
      </c>
      <c r="AO219" s="62" t="e">
        <v>#N/A</v>
      </c>
      <c r="AP219" s="62" t="e">
        <v>#N/A</v>
      </c>
      <c r="AQ219" s="62" t="e">
        <v>#N/A</v>
      </c>
      <c r="AR219" s="62" t="e">
        <v>#N/A</v>
      </c>
      <c r="AS219" s="62" t="e">
        <v>#N/A</v>
      </c>
      <c r="AT219" s="62" t="e">
        <v>#N/A</v>
      </c>
      <c r="AU219" s="62" t="e">
        <v>#N/A</v>
      </c>
      <c r="AV219" s="62" t="e">
        <v>#N/A</v>
      </c>
      <c r="AW219" s="62" t="e">
        <v>#N/A</v>
      </c>
      <c r="AX219" s="62" t="e">
        <v>#N/A</v>
      </c>
    </row>
    <row r="220" spans="4:50" s="66" customFormat="1">
      <c r="D220" s="75"/>
      <c r="E220" s="76"/>
      <c r="F220" s="63"/>
      <c r="G220" s="63"/>
      <c r="H220" s="63"/>
      <c r="I220" s="63"/>
      <c r="J220" s="63"/>
      <c r="K220" s="63"/>
      <c r="L220" s="63"/>
      <c r="AG220" s="62"/>
      <c r="AH220" s="62"/>
      <c r="AI220" s="62"/>
      <c r="AK220" s="66" t="s">
        <v>425</v>
      </c>
      <c r="AL220" s="66">
        <v>785</v>
      </c>
      <c r="AN220" s="62" t="s">
        <v>210</v>
      </c>
      <c r="AO220" s="62" t="e">
        <v>#N/A</v>
      </c>
      <c r="AP220" s="62" t="e">
        <v>#N/A</v>
      </c>
      <c r="AQ220" s="62" t="e">
        <v>#N/A</v>
      </c>
      <c r="AR220" s="62" t="e">
        <v>#N/A</v>
      </c>
      <c r="AS220" s="62" t="e">
        <v>#N/A</v>
      </c>
      <c r="AT220" s="62" t="e">
        <v>#N/A</v>
      </c>
      <c r="AU220" s="62" t="e">
        <v>#N/A</v>
      </c>
      <c r="AV220" s="62" t="e">
        <v>#N/A</v>
      </c>
      <c r="AW220" s="62" t="e">
        <v>#N/A</v>
      </c>
      <c r="AX220" s="62" t="e">
        <v>#N/A</v>
      </c>
    </row>
    <row r="221" spans="4:50" s="66" customFormat="1">
      <c r="D221" s="75"/>
      <c r="E221" s="76"/>
      <c r="F221" s="63"/>
      <c r="G221" s="63"/>
      <c r="H221" s="63"/>
      <c r="I221" s="63"/>
      <c r="J221" s="63"/>
      <c r="K221" s="63"/>
      <c r="L221" s="63"/>
      <c r="AG221" s="62"/>
      <c r="AH221" s="62"/>
      <c r="AI221" s="62"/>
      <c r="AK221" s="66" t="s">
        <v>426</v>
      </c>
      <c r="AL221" s="66">
        <v>790</v>
      </c>
      <c r="AN221" s="62" t="s">
        <v>210</v>
      </c>
      <c r="AO221" s="62" t="e">
        <v>#N/A</v>
      </c>
      <c r="AP221" s="62" t="e">
        <v>#N/A</v>
      </c>
      <c r="AQ221" s="62" t="e">
        <v>#N/A</v>
      </c>
      <c r="AR221" s="62" t="e">
        <v>#N/A</v>
      </c>
      <c r="AS221" s="62" t="e">
        <v>#N/A</v>
      </c>
      <c r="AT221" s="62" t="e">
        <v>#N/A</v>
      </c>
      <c r="AU221" s="62" t="e">
        <v>#N/A</v>
      </c>
      <c r="AV221" s="62" t="e">
        <v>#N/A</v>
      </c>
      <c r="AW221" s="62" t="e">
        <v>#N/A</v>
      </c>
      <c r="AX221" s="62" t="e">
        <v>#N/A</v>
      </c>
    </row>
    <row r="222" spans="4:50" s="66" customFormat="1">
      <c r="D222" s="75"/>
      <c r="E222" s="76"/>
      <c r="F222" s="63"/>
      <c r="G222" s="63"/>
      <c r="H222" s="63"/>
      <c r="I222" s="63"/>
      <c r="J222" s="63"/>
      <c r="K222" s="63"/>
      <c r="L222" s="63"/>
      <c r="AG222" s="62"/>
      <c r="AH222" s="62"/>
      <c r="AI222" s="62"/>
      <c r="AK222" s="66" t="s">
        <v>427</v>
      </c>
      <c r="AL222" s="66">
        <v>795</v>
      </c>
      <c r="AN222" s="62" t="s">
        <v>210</v>
      </c>
      <c r="AO222" s="62" t="e">
        <v>#N/A</v>
      </c>
      <c r="AP222" s="62" t="e">
        <v>#N/A</v>
      </c>
      <c r="AQ222" s="62" t="e">
        <v>#N/A</v>
      </c>
      <c r="AR222" s="62" t="e">
        <v>#N/A</v>
      </c>
      <c r="AS222" s="62" t="e">
        <v>#N/A</v>
      </c>
      <c r="AT222" s="62" t="e">
        <v>#N/A</v>
      </c>
      <c r="AU222" s="62" t="e">
        <v>#N/A</v>
      </c>
      <c r="AV222" s="62" t="e">
        <v>#N/A</v>
      </c>
      <c r="AW222" s="62" t="e">
        <v>#N/A</v>
      </c>
      <c r="AX222" s="62" t="e">
        <v>#N/A</v>
      </c>
    </row>
    <row r="223" spans="4:50" s="66" customFormat="1">
      <c r="D223" s="75"/>
      <c r="E223" s="76"/>
      <c r="F223" s="63"/>
      <c r="G223" s="63"/>
      <c r="H223" s="63"/>
      <c r="I223" s="63"/>
      <c r="J223" s="63"/>
      <c r="K223" s="63"/>
      <c r="L223" s="63"/>
      <c r="AG223" s="62"/>
      <c r="AH223" s="62"/>
      <c r="AI223" s="62"/>
      <c r="AK223" s="66" t="s">
        <v>428</v>
      </c>
      <c r="AL223" s="66">
        <v>800</v>
      </c>
      <c r="AN223" s="62" t="s">
        <v>210</v>
      </c>
      <c r="AO223" s="62" t="e">
        <v>#N/A</v>
      </c>
      <c r="AP223" s="62" t="e">
        <v>#N/A</v>
      </c>
      <c r="AQ223" s="62" t="e">
        <v>#N/A</v>
      </c>
      <c r="AR223" s="62" t="e">
        <v>#N/A</v>
      </c>
      <c r="AS223" s="62" t="e">
        <v>#N/A</v>
      </c>
      <c r="AT223" s="62" t="e">
        <v>#N/A</v>
      </c>
      <c r="AU223" s="62" t="e">
        <v>#N/A</v>
      </c>
      <c r="AV223" s="62" t="e">
        <v>#N/A</v>
      </c>
      <c r="AW223" s="62" t="e">
        <v>#N/A</v>
      </c>
      <c r="AX223" s="62" t="e">
        <v>#N/A</v>
      </c>
    </row>
    <row r="224" spans="4:50" s="66" customFormat="1">
      <c r="D224" s="75"/>
      <c r="E224" s="76"/>
      <c r="F224" s="63"/>
      <c r="G224" s="63"/>
      <c r="H224" s="63"/>
      <c r="I224" s="63"/>
      <c r="J224" s="63"/>
      <c r="K224" s="63"/>
      <c r="L224" s="63"/>
      <c r="AG224" s="62"/>
      <c r="AH224" s="62"/>
      <c r="AI224" s="62"/>
      <c r="AK224" s="66" t="s">
        <v>429</v>
      </c>
      <c r="AL224" s="66">
        <v>805</v>
      </c>
      <c r="AN224" s="62" t="s">
        <v>210</v>
      </c>
      <c r="AO224" s="62" t="e">
        <v>#N/A</v>
      </c>
      <c r="AP224" s="62" t="e">
        <v>#N/A</v>
      </c>
      <c r="AQ224" s="62" t="e">
        <v>#N/A</v>
      </c>
      <c r="AR224" s="62" t="e">
        <v>#N/A</v>
      </c>
      <c r="AS224" s="62" t="e">
        <v>#N/A</v>
      </c>
      <c r="AT224" s="62" t="e">
        <v>#N/A</v>
      </c>
      <c r="AU224" s="62" t="e">
        <v>#N/A</v>
      </c>
      <c r="AV224" s="62" t="e">
        <v>#N/A</v>
      </c>
      <c r="AW224" s="62" t="e">
        <v>#N/A</v>
      </c>
      <c r="AX224" s="62" t="e">
        <v>#N/A</v>
      </c>
    </row>
    <row r="225" spans="4:50" s="66" customFormat="1">
      <c r="D225" s="75"/>
      <c r="E225" s="76"/>
      <c r="F225" s="63"/>
      <c r="G225" s="63"/>
      <c r="H225" s="63"/>
      <c r="I225" s="63"/>
      <c r="J225" s="63"/>
      <c r="K225" s="63"/>
      <c r="L225" s="63"/>
      <c r="AG225" s="62"/>
      <c r="AH225" s="62"/>
      <c r="AI225" s="62"/>
      <c r="AK225" s="66" t="s">
        <v>430</v>
      </c>
      <c r="AL225" s="66">
        <v>810</v>
      </c>
      <c r="AN225" s="62" t="s">
        <v>210</v>
      </c>
      <c r="AO225" s="62" t="e">
        <v>#N/A</v>
      </c>
      <c r="AP225" s="62" t="e">
        <v>#N/A</v>
      </c>
      <c r="AQ225" s="62" t="e">
        <v>#N/A</v>
      </c>
      <c r="AR225" s="62" t="e">
        <v>#N/A</v>
      </c>
      <c r="AS225" s="62" t="e">
        <v>#N/A</v>
      </c>
      <c r="AT225" s="62" t="e">
        <v>#N/A</v>
      </c>
      <c r="AU225" s="62" t="e">
        <v>#N/A</v>
      </c>
      <c r="AV225" s="62" t="e">
        <v>#N/A</v>
      </c>
      <c r="AW225" s="62" t="e">
        <v>#N/A</v>
      </c>
      <c r="AX225" s="62" t="e">
        <v>#N/A</v>
      </c>
    </row>
    <row r="226" spans="4:50" s="66" customFormat="1">
      <c r="D226" s="75"/>
      <c r="E226" s="76"/>
      <c r="F226" s="63"/>
      <c r="G226" s="63"/>
      <c r="H226" s="63"/>
      <c r="I226" s="63"/>
      <c r="J226" s="63"/>
      <c r="K226" s="63"/>
      <c r="L226" s="63"/>
      <c r="AG226" s="62"/>
      <c r="AH226" s="62"/>
      <c r="AI226" s="62"/>
      <c r="AK226" s="66" t="s">
        <v>431</v>
      </c>
      <c r="AL226" s="66">
        <v>815</v>
      </c>
      <c r="AN226" s="62" t="s">
        <v>210</v>
      </c>
      <c r="AO226" s="62" t="e">
        <v>#N/A</v>
      </c>
      <c r="AP226" s="62" t="e">
        <v>#N/A</v>
      </c>
      <c r="AQ226" s="62" t="e">
        <v>#N/A</v>
      </c>
      <c r="AR226" s="62" t="e">
        <v>#N/A</v>
      </c>
      <c r="AS226" s="62" t="e">
        <v>#N/A</v>
      </c>
      <c r="AT226" s="62" t="e">
        <v>#N/A</v>
      </c>
      <c r="AU226" s="62" t="e">
        <v>#N/A</v>
      </c>
      <c r="AV226" s="62" t="e">
        <v>#N/A</v>
      </c>
      <c r="AW226" s="62" t="e">
        <v>#N/A</v>
      </c>
      <c r="AX226" s="62" t="e">
        <v>#N/A</v>
      </c>
    </row>
    <row r="227" spans="4:50" s="66" customFormat="1">
      <c r="D227" s="75"/>
      <c r="E227" s="76"/>
      <c r="F227" s="63"/>
      <c r="G227" s="63"/>
      <c r="H227" s="63"/>
      <c r="I227" s="63"/>
      <c r="J227" s="63"/>
      <c r="K227" s="63"/>
      <c r="L227" s="63"/>
      <c r="AG227" s="62"/>
      <c r="AH227" s="62"/>
      <c r="AI227" s="62"/>
      <c r="AK227" s="66" t="s">
        <v>432</v>
      </c>
      <c r="AL227" s="66">
        <v>820</v>
      </c>
      <c r="AN227" s="62" t="s">
        <v>210</v>
      </c>
      <c r="AO227" s="62" t="e">
        <v>#N/A</v>
      </c>
      <c r="AP227" s="62" t="e">
        <v>#N/A</v>
      </c>
      <c r="AQ227" s="62" t="e">
        <v>#N/A</v>
      </c>
      <c r="AR227" s="62" t="e">
        <v>#N/A</v>
      </c>
      <c r="AS227" s="62" t="e">
        <v>#N/A</v>
      </c>
      <c r="AT227" s="62" t="e">
        <v>#N/A</v>
      </c>
      <c r="AU227" s="62" t="e">
        <v>#N/A</v>
      </c>
      <c r="AV227" s="62" t="e">
        <v>#N/A</v>
      </c>
      <c r="AW227" s="62" t="e">
        <v>#N/A</v>
      </c>
      <c r="AX227" s="62" t="e">
        <v>#N/A</v>
      </c>
    </row>
    <row r="228" spans="4:50" s="66" customFormat="1">
      <c r="D228" s="75"/>
      <c r="E228" s="76"/>
      <c r="F228" s="63"/>
      <c r="G228" s="63"/>
      <c r="H228" s="63"/>
      <c r="I228" s="63"/>
      <c r="J228" s="63"/>
      <c r="K228" s="63"/>
      <c r="L228" s="63"/>
      <c r="M228" s="63"/>
      <c r="N228" s="63"/>
      <c r="O228" s="63"/>
      <c r="P228" s="63"/>
      <c r="Q228" s="63"/>
      <c r="R228" s="63"/>
      <c r="S228" s="63"/>
      <c r="T228" s="63"/>
      <c r="U228" s="63"/>
      <c r="V228" s="63"/>
      <c r="W228" s="63"/>
      <c r="X228" s="63"/>
      <c r="Y228" s="63"/>
      <c r="Z228" s="63"/>
      <c r="AA228" s="63"/>
      <c r="AB228" s="63"/>
      <c r="AC228" s="63"/>
      <c r="AD228" s="63"/>
      <c r="AE228" s="63"/>
      <c r="AF228" s="63"/>
      <c r="AG228" s="63"/>
      <c r="AH228" s="63"/>
      <c r="AI228" s="63"/>
      <c r="AK228" s="66" t="s">
        <v>433</v>
      </c>
      <c r="AL228" s="66">
        <v>825</v>
      </c>
      <c r="AN228" s="62" t="s">
        <v>210</v>
      </c>
      <c r="AO228" s="62" t="e">
        <v>#N/A</v>
      </c>
      <c r="AP228" s="62" t="e">
        <v>#N/A</v>
      </c>
      <c r="AQ228" s="62" t="e">
        <v>#N/A</v>
      </c>
      <c r="AR228" s="62" t="e">
        <v>#N/A</v>
      </c>
      <c r="AS228" s="62" t="e">
        <v>#N/A</v>
      </c>
      <c r="AT228" s="62" t="e">
        <v>#N/A</v>
      </c>
      <c r="AU228" s="62" t="e">
        <v>#N/A</v>
      </c>
      <c r="AV228" s="62" t="e">
        <v>#N/A</v>
      </c>
      <c r="AW228" s="62" t="e">
        <v>#N/A</v>
      </c>
      <c r="AX228" s="62" t="e">
        <v>#N/A</v>
      </c>
    </row>
    <row r="229" spans="4:50" s="66" customFormat="1">
      <c r="D229" s="75"/>
      <c r="E229" s="76"/>
      <c r="F229" s="63"/>
      <c r="G229" s="63"/>
      <c r="H229" s="63"/>
      <c r="I229" s="63"/>
      <c r="J229" s="63"/>
      <c r="K229" s="63"/>
      <c r="L229" s="63"/>
      <c r="M229" s="63"/>
      <c r="N229" s="63"/>
      <c r="O229" s="63"/>
      <c r="P229" s="63"/>
      <c r="Q229" s="63"/>
      <c r="R229" s="63"/>
      <c r="S229" s="63"/>
      <c r="T229" s="63"/>
      <c r="U229" s="63"/>
      <c r="V229" s="63"/>
      <c r="W229" s="63"/>
      <c r="X229" s="63"/>
      <c r="Y229" s="63"/>
      <c r="Z229" s="63"/>
      <c r="AA229" s="63"/>
      <c r="AB229" s="63"/>
      <c r="AC229" s="63"/>
      <c r="AD229" s="63"/>
      <c r="AE229" s="63"/>
      <c r="AF229" s="63"/>
      <c r="AG229" s="63"/>
      <c r="AH229" s="63"/>
      <c r="AI229" s="63"/>
      <c r="AK229" s="66" t="s">
        <v>434</v>
      </c>
      <c r="AL229" s="66">
        <v>830</v>
      </c>
      <c r="AN229" s="62" t="s">
        <v>210</v>
      </c>
      <c r="AO229" s="62" t="e">
        <v>#N/A</v>
      </c>
      <c r="AP229" s="62" t="e">
        <v>#N/A</v>
      </c>
      <c r="AQ229" s="62" t="e">
        <v>#N/A</v>
      </c>
      <c r="AR229" s="62" t="e">
        <v>#N/A</v>
      </c>
      <c r="AS229" s="62" t="e">
        <v>#N/A</v>
      </c>
      <c r="AT229" s="62" t="e">
        <v>#N/A</v>
      </c>
      <c r="AU229" s="62" t="e">
        <v>#N/A</v>
      </c>
      <c r="AV229" s="62" t="e">
        <v>#N/A</v>
      </c>
      <c r="AW229" s="62" t="e">
        <v>#N/A</v>
      </c>
      <c r="AX229" s="62" t="e">
        <v>#N/A</v>
      </c>
    </row>
    <row r="230" spans="4:50" s="66" customFormat="1">
      <c r="D230" s="75"/>
      <c r="E230" s="76"/>
      <c r="F230" s="63"/>
      <c r="G230" s="63"/>
      <c r="H230" s="63"/>
      <c r="I230" s="63"/>
      <c r="J230" s="63"/>
      <c r="K230" s="63"/>
      <c r="L230" s="63"/>
      <c r="M230" s="63"/>
      <c r="N230" s="63"/>
      <c r="O230" s="63"/>
      <c r="P230" s="63"/>
      <c r="Q230" s="63"/>
      <c r="R230" s="63"/>
      <c r="S230" s="63"/>
      <c r="T230" s="63"/>
      <c r="U230" s="63"/>
      <c r="V230" s="63"/>
      <c r="W230" s="63"/>
      <c r="X230" s="63"/>
      <c r="Y230" s="63"/>
      <c r="Z230" s="63"/>
      <c r="AA230" s="63"/>
      <c r="AB230" s="63"/>
      <c r="AC230" s="63"/>
      <c r="AD230" s="63"/>
      <c r="AE230" s="63"/>
      <c r="AF230" s="63"/>
      <c r="AG230" s="63"/>
      <c r="AH230" s="63"/>
      <c r="AI230" s="63"/>
      <c r="AK230" s="66" t="s">
        <v>435</v>
      </c>
      <c r="AL230" s="66">
        <v>835</v>
      </c>
      <c r="AN230" s="62" t="s">
        <v>210</v>
      </c>
      <c r="AO230" s="62" t="e">
        <v>#N/A</v>
      </c>
      <c r="AP230" s="62" t="e">
        <v>#N/A</v>
      </c>
      <c r="AQ230" s="62" t="e">
        <v>#N/A</v>
      </c>
      <c r="AR230" s="62" t="e">
        <v>#N/A</v>
      </c>
      <c r="AS230" s="62" t="e">
        <v>#N/A</v>
      </c>
      <c r="AT230" s="62" t="e">
        <v>#N/A</v>
      </c>
      <c r="AU230" s="62" t="e">
        <v>#N/A</v>
      </c>
      <c r="AV230" s="62" t="e">
        <v>#N/A</v>
      </c>
      <c r="AW230" s="62" t="e">
        <v>#N/A</v>
      </c>
      <c r="AX230" s="62" t="e">
        <v>#N/A</v>
      </c>
    </row>
    <row r="231" spans="4:50" s="66" customFormat="1">
      <c r="D231" s="75"/>
      <c r="E231" s="76"/>
      <c r="F231" s="63"/>
      <c r="G231" s="63"/>
      <c r="H231" s="63"/>
      <c r="I231" s="63"/>
      <c r="J231" s="63"/>
      <c r="K231" s="63"/>
      <c r="L231" s="63"/>
      <c r="M231" s="63"/>
      <c r="N231" s="63"/>
      <c r="O231" s="63"/>
      <c r="P231" s="63"/>
      <c r="Q231" s="63"/>
      <c r="R231" s="63"/>
      <c r="S231" s="63"/>
      <c r="T231" s="63"/>
      <c r="U231" s="63"/>
      <c r="V231" s="63"/>
      <c r="W231" s="63"/>
      <c r="X231" s="63"/>
      <c r="Y231" s="63"/>
      <c r="Z231" s="63"/>
      <c r="AA231" s="63"/>
      <c r="AB231" s="63"/>
      <c r="AC231" s="63"/>
      <c r="AD231" s="63"/>
      <c r="AE231" s="63"/>
      <c r="AF231" s="63"/>
      <c r="AG231" s="63"/>
      <c r="AH231" s="63"/>
      <c r="AI231" s="63"/>
      <c r="AK231" s="66" t="s">
        <v>436</v>
      </c>
      <c r="AL231" s="66">
        <v>840</v>
      </c>
      <c r="AN231" s="62" t="s">
        <v>210</v>
      </c>
      <c r="AO231" s="62" t="e">
        <v>#N/A</v>
      </c>
      <c r="AP231" s="62" t="e">
        <v>#N/A</v>
      </c>
      <c r="AQ231" s="62" t="e">
        <v>#N/A</v>
      </c>
      <c r="AR231" s="62" t="e">
        <v>#N/A</v>
      </c>
      <c r="AS231" s="62" t="e">
        <v>#N/A</v>
      </c>
      <c r="AT231" s="62" t="e">
        <v>#N/A</v>
      </c>
      <c r="AU231" s="62" t="e">
        <v>#N/A</v>
      </c>
      <c r="AV231" s="62" t="e">
        <v>#N/A</v>
      </c>
      <c r="AW231" s="62" t="e">
        <v>#N/A</v>
      </c>
      <c r="AX231" s="62" t="e">
        <v>#N/A</v>
      </c>
    </row>
    <row r="232" spans="4:50" s="66" customFormat="1">
      <c r="D232" s="75"/>
      <c r="E232" s="76"/>
      <c r="F232" s="63"/>
      <c r="G232" s="63"/>
      <c r="H232" s="63"/>
      <c r="I232" s="63"/>
      <c r="J232" s="63"/>
      <c r="K232" s="63"/>
      <c r="L232" s="63"/>
      <c r="M232" s="63"/>
      <c r="N232" s="63"/>
      <c r="O232" s="63"/>
      <c r="P232" s="63"/>
      <c r="Q232" s="63"/>
      <c r="R232" s="63"/>
      <c r="S232" s="63"/>
      <c r="T232" s="63"/>
      <c r="U232" s="63"/>
      <c r="V232" s="63"/>
      <c r="W232" s="63"/>
      <c r="X232" s="63"/>
      <c r="Y232" s="63"/>
      <c r="Z232" s="63"/>
      <c r="AA232" s="63"/>
      <c r="AB232" s="63"/>
      <c r="AC232" s="63"/>
      <c r="AD232" s="63"/>
      <c r="AE232" s="63"/>
      <c r="AF232" s="63"/>
      <c r="AG232" s="63"/>
      <c r="AH232" s="63"/>
      <c r="AI232" s="63"/>
      <c r="AK232" s="66" t="s">
        <v>437</v>
      </c>
      <c r="AL232" s="66">
        <v>845</v>
      </c>
      <c r="AN232" s="62" t="s">
        <v>210</v>
      </c>
      <c r="AO232" s="62" t="e">
        <v>#N/A</v>
      </c>
      <c r="AP232" s="62" t="e">
        <v>#N/A</v>
      </c>
      <c r="AQ232" s="62" t="e">
        <v>#N/A</v>
      </c>
      <c r="AR232" s="62" t="e">
        <v>#N/A</v>
      </c>
      <c r="AS232" s="62" t="e">
        <v>#N/A</v>
      </c>
      <c r="AT232" s="62" t="e">
        <v>#N/A</v>
      </c>
      <c r="AU232" s="62" t="e">
        <v>#N/A</v>
      </c>
      <c r="AV232" s="62" t="e">
        <v>#N/A</v>
      </c>
      <c r="AW232" s="62" t="e">
        <v>#N/A</v>
      </c>
      <c r="AX232" s="62" t="e">
        <v>#N/A</v>
      </c>
    </row>
    <row r="233" spans="4:50" s="66" customFormat="1">
      <c r="D233" s="75"/>
      <c r="E233" s="76"/>
      <c r="F233" s="63"/>
      <c r="G233" s="63"/>
      <c r="H233" s="63"/>
      <c r="I233" s="63"/>
      <c r="J233" s="63"/>
      <c r="K233" s="63"/>
      <c r="L233" s="63"/>
      <c r="M233" s="63"/>
      <c r="N233" s="63"/>
      <c r="O233" s="63"/>
      <c r="P233" s="63"/>
      <c r="Q233" s="63"/>
      <c r="R233" s="63"/>
      <c r="S233" s="63"/>
      <c r="T233" s="63"/>
      <c r="U233" s="63"/>
      <c r="V233" s="63"/>
      <c r="W233" s="63"/>
      <c r="X233" s="63"/>
      <c r="Y233" s="63"/>
      <c r="Z233" s="63"/>
      <c r="AA233" s="63"/>
      <c r="AB233" s="63"/>
      <c r="AC233" s="63"/>
      <c r="AD233" s="63"/>
      <c r="AE233" s="63"/>
      <c r="AF233" s="63"/>
      <c r="AG233" s="63"/>
      <c r="AH233" s="63"/>
      <c r="AI233" s="63"/>
      <c r="AK233" s="66" t="s">
        <v>438</v>
      </c>
      <c r="AL233" s="66">
        <v>850</v>
      </c>
      <c r="AN233" s="62" t="s">
        <v>210</v>
      </c>
      <c r="AO233" s="62" t="e">
        <v>#N/A</v>
      </c>
      <c r="AP233" s="62" t="e">
        <v>#N/A</v>
      </c>
      <c r="AQ233" s="62" t="e">
        <v>#N/A</v>
      </c>
      <c r="AR233" s="62" t="e">
        <v>#N/A</v>
      </c>
      <c r="AS233" s="62" t="e">
        <v>#N/A</v>
      </c>
      <c r="AT233" s="62" t="e">
        <v>#N/A</v>
      </c>
      <c r="AU233" s="62" t="e">
        <v>#N/A</v>
      </c>
      <c r="AV233" s="62" t="e">
        <v>#N/A</v>
      </c>
      <c r="AW233" s="62" t="e">
        <v>#N/A</v>
      </c>
      <c r="AX233" s="62" t="e">
        <v>#N/A</v>
      </c>
    </row>
    <row r="234" spans="4:50" s="66" customFormat="1">
      <c r="D234" s="75"/>
      <c r="E234" s="76"/>
      <c r="F234" s="63"/>
      <c r="G234" s="63"/>
      <c r="H234" s="63"/>
      <c r="I234" s="63"/>
      <c r="J234" s="63"/>
      <c r="K234" s="63"/>
      <c r="L234" s="63"/>
      <c r="M234" s="63"/>
      <c r="N234" s="63"/>
      <c r="O234" s="63"/>
      <c r="P234" s="63"/>
      <c r="Q234" s="63"/>
      <c r="R234" s="63"/>
      <c r="S234" s="63"/>
      <c r="T234" s="63"/>
      <c r="U234" s="63"/>
      <c r="V234" s="63"/>
      <c r="W234" s="63"/>
      <c r="X234" s="63"/>
      <c r="Y234" s="63"/>
      <c r="Z234" s="63"/>
      <c r="AA234" s="63"/>
      <c r="AB234" s="63"/>
      <c r="AC234" s="63"/>
      <c r="AD234" s="63"/>
      <c r="AE234" s="63"/>
      <c r="AF234" s="63"/>
      <c r="AG234" s="63"/>
      <c r="AH234" s="63"/>
      <c r="AI234" s="63"/>
      <c r="AK234" s="66" t="s">
        <v>439</v>
      </c>
      <c r="AL234" s="66">
        <v>855</v>
      </c>
      <c r="AN234" s="62" t="s">
        <v>210</v>
      </c>
      <c r="AO234" s="62" t="e">
        <v>#N/A</v>
      </c>
      <c r="AP234" s="62" t="e">
        <v>#N/A</v>
      </c>
      <c r="AQ234" s="62" t="e">
        <v>#N/A</v>
      </c>
      <c r="AR234" s="62" t="e">
        <v>#N/A</v>
      </c>
      <c r="AS234" s="62" t="e">
        <v>#N/A</v>
      </c>
      <c r="AT234" s="62" t="e">
        <v>#N/A</v>
      </c>
      <c r="AU234" s="62" t="e">
        <v>#N/A</v>
      </c>
      <c r="AV234" s="62" t="e">
        <v>#N/A</v>
      </c>
      <c r="AW234" s="62" t="e">
        <v>#N/A</v>
      </c>
      <c r="AX234" s="62" t="e">
        <v>#N/A</v>
      </c>
    </row>
    <row r="235" spans="4:50" s="66" customFormat="1">
      <c r="D235" s="75"/>
      <c r="E235" s="76"/>
      <c r="F235" s="63"/>
      <c r="G235" s="63"/>
      <c r="H235" s="63"/>
      <c r="I235" s="63"/>
      <c r="J235" s="63"/>
      <c r="K235" s="63"/>
      <c r="L235" s="63"/>
      <c r="M235" s="63"/>
      <c r="N235" s="63"/>
      <c r="O235" s="63"/>
      <c r="P235" s="63"/>
      <c r="Q235" s="63"/>
      <c r="R235" s="63"/>
      <c r="S235" s="63"/>
      <c r="T235" s="63"/>
      <c r="U235" s="63"/>
      <c r="V235" s="63"/>
      <c r="W235" s="63"/>
      <c r="X235" s="63"/>
      <c r="Y235" s="63"/>
      <c r="Z235" s="63"/>
      <c r="AA235" s="63"/>
      <c r="AB235" s="63"/>
      <c r="AC235" s="63"/>
      <c r="AD235" s="63"/>
      <c r="AE235" s="63"/>
      <c r="AF235" s="63"/>
      <c r="AG235" s="63"/>
      <c r="AH235" s="63"/>
      <c r="AI235" s="63"/>
      <c r="AK235" s="66" t="s">
        <v>440</v>
      </c>
      <c r="AL235" s="66">
        <v>860</v>
      </c>
      <c r="AN235" s="62" t="s">
        <v>210</v>
      </c>
      <c r="AO235" s="62" t="e">
        <v>#N/A</v>
      </c>
      <c r="AP235" s="62" t="e">
        <v>#N/A</v>
      </c>
      <c r="AQ235" s="62" t="e">
        <v>#N/A</v>
      </c>
      <c r="AR235" s="62" t="e">
        <v>#N/A</v>
      </c>
      <c r="AS235" s="62" t="e">
        <v>#N/A</v>
      </c>
      <c r="AT235" s="62" t="e">
        <v>#N/A</v>
      </c>
      <c r="AU235" s="62" t="e">
        <v>#N/A</v>
      </c>
      <c r="AV235" s="62" t="e">
        <v>#N/A</v>
      </c>
      <c r="AW235" s="62" t="e">
        <v>#N/A</v>
      </c>
      <c r="AX235" s="62" t="e">
        <v>#N/A</v>
      </c>
    </row>
    <row r="236" spans="4:50" s="66" customFormat="1">
      <c r="D236" s="75"/>
      <c r="E236" s="76"/>
      <c r="F236" s="63"/>
      <c r="G236" s="63"/>
      <c r="H236" s="63"/>
      <c r="I236" s="63"/>
      <c r="J236" s="63"/>
      <c r="K236" s="63"/>
      <c r="L236" s="63"/>
      <c r="M236" s="63"/>
      <c r="N236" s="63"/>
      <c r="O236" s="63"/>
      <c r="P236" s="63"/>
      <c r="Q236" s="63"/>
      <c r="R236" s="63"/>
      <c r="S236" s="63"/>
      <c r="T236" s="63"/>
      <c r="U236" s="63"/>
      <c r="V236" s="63"/>
      <c r="W236" s="63"/>
      <c r="X236" s="63"/>
      <c r="Y236" s="63"/>
      <c r="Z236" s="63"/>
      <c r="AA236" s="63"/>
      <c r="AB236" s="63"/>
      <c r="AC236" s="63"/>
      <c r="AD236" s="63"/>
      <c r="AE236" s="63"/>
      <c r="AF236" s="63"/>
      <c r="AG236" s="63"/>
      <c r="AH236" s="63"/>
      <c r="AI236" s="63"/>
      <c r="AK236" s="66" t="s">
        <v>441</v>
      </c>
      <c r="AL236" s="66">
        <v>865</v>
      </c>
      <c r="AN236" s="62" t="s">
        <v>210</v>
      </c>
      <c r="AO236" s="62" t="e">
        <v>#N/A</v>
      </c>
      <c r="AP236" s="62" t="e">
        <v>#N/A</v>
      </c>
      <c r="AQ236" s="62" t="e">
        <v>#N/A</v>
      </c>
      <c r="AR236" s="62" t="e">
        <v>#N/A</v>
      </c>
      <c r="AS236" s="62" t="e">
        <v>#N/A</v>
      </c>
      <c r="AT236" s="62" t="e">
        <v>#N/A</v>
      </c>
      <c r="AU236" s="62" t="e">
        <v>#N/A</v>
      </c>
      <c r="AV236" s="62" t="e">
        <v>#N/A</v>
      </c>
      <c r="AW236" s="62" t="e">
        <v>#N/A</v>
      </c>
      <c r="AX236" s="62" t="e">
        <v>#N/A</v>
      </c>
    </row>
    <row r="237" spans="4:50" s="66" customFormat="1">
      <c r="D237" s="75"/>
      <c r="E237" s="76"/>
      <c r="F237" s="63"/>
      <c r="G237" s="63"/>
      <c r="H237" s="63"/>
      <c r="I237" s="63"/>
      <c r="J237" s="63"/>
      <c r="K237" s="63"/>
      <c r="L237" s="63"/>
      <c r="M237" s="63"/>
      <c r="N237" s="63"/>
      <c r="O237" s="63"/>
      <c r="P237" s="63"/>
      <c r="Q237" s="63"/>
      <c r="R237" s="63"/>
      <c r="S237" s="63"/>
      <c r="T237" s="63"/>
      <c r="U237" s="63"/>
      <c r="V237" s="63"/>
      <c r="W237" s="63"/>
      <c r="X237" s="63"/>
      <c r="Y237" s="63"/>
      <c r="Z237" s="63"/>
      <c r="AA237" s="63"/>
      <c r="AB237" s="63"/>
      <c r="AC237" s="63"/>
      <c r="AD237" s="63"/>
      <c r="AE237" s="63"/>
      <c r="AF237" s="63"/>
      <c r="AG237" s="63"/>
      <c r="AH237" s="63"/>
      <c r="AI237" s="63"/>
      <c r="AK237" s="66" t="s">
        <v>442</v>
      </c>
      <c r="AL237" s="66">
        <v>870</v>
      </c>
      <c r="AN237" s="62" t="s">
        <v>210</v>
      </c>
      <c r="AO237" s="62" t="e">
        <v>#N/A</v>
      </c>
      <c r="AP237" s="62" t="e">
        <v>#N/A</v>
      </c>
      <c r="AQ237" s="62" t="e">
        <v>#N/A</v>
      </c>
      <c r="AR237" s="62" t="e">
        <v>#N/A</v>
      </c>
      <c r="AS237" s="62" t="e">
        <v>#N/A</v>
      </c>
      <c r="AT237" s="62" t="e">
        <v>#N/A</v>
      </c>
      <c r="AU237" s="62" t="e">
        <v>#N/A</v>
      </c>
      <c r="AV237" s="62" t="e">
        <v>#N/A</v>
      </c>
      <c r="AW237" s="62" t="e">
        <v>#N/A</v>
      </c>
      <c r="AX237" s="62" t="e">
        <v>#N/A</v>
      </c>
    </row>
    <row r="238" spans="4:50" s="66" customFormat="1">
      <c r="D238" s="75"/>
      <c r="E238" s="76"/>
      <c r="F238" s="63"/>
      <c r="G238" s="63"/>
      <c r="H238" s="63"/>
      <c r="I238" s="63"/>
      <c r="J238" s="63"/>
      <c r="K238" s="63"/>
      <c r="L238" s="63"/>
      <c r="M238" s="63"/>
      <c r="N238" s="63"/>
      <c r="O238" s="63"/>
      <c r="P238" s="63"/>
      <c r="Q238" s="63"/>
      <c r="R238" s="63"/>
      <c r="S238" s="63"/>
      <c r="T238" s="63"/>
      <c r="U238" s="63"/>
      <c r="V238" s="63"/>
      <c r="W238" s="63"/>
      <c r="X238" s="63"/>
      <c r="Y238" s="63"/>
      <c r="Z238" s="63"/>
      <c r="AA238" s="63"/>
      <c r="AB238" s="63"/>
      <c r="AC238" s="63"/>
      <c r="AD238" s="63"/>
      <c r="AE238" s="63"/>
      <c r="AF238" s="63"/>
      <c r="AG238" s="63"/>
      <c r="AH238" s="63"/>
      <c r="AI238" s="63"/>
      <c r="AK238" s="66" t="s">
        <v>443</v>
      </c>
      <c r="AL238" s="66">
        <v>875</v>
      </c>
      <c r="AN238" s="62" t="s">
        <v>210</v>
      </c>
      <c r="AO238" s="62" t="e">
        <v>#N/A</v>
      </c>
      <c r="AP238" s="62" t="e">
        <v>#N/A</v>
      </c>
      <c r="AQ238" s="62" t="e">
        <v>#N/A</v>
      </c>
      <c r="AR238" s="62" t="e">
        <v>#N/A</v>
      </c>
      <c r="AS238" s="62" t="e">
        <v>#N/A</v>
      </c>
      <c r="AT238" s="62" t="e">
        <v>#N/A</v>
      </c>
      <c r="AU238" s="62" t="e">
        <v>#N/A</v>
      </c>
      <c r="AV238" s="62" t="e">
        <v>#N/A</v>
      </c>
      <c r="AW238" s="62" t="e">
        <v>#N/A</v>
      </c>
      <c r="AX238" s="62" t="e">
        <v>#N/A</v>
      </c>
    </row>
    <row r="239" spans="4:50" s="66" customFormat="1">
      <c r="D239" s="75"/>
      <c r="E239" s="76"/>
      <c r="F239" s="63"/>
      <c r="G239" s="63"/>
      <c r="H239" s="63"/>
      <c r="I239" s="63"/>
      <c r="J239" s="63"/>
      <c r="K239" s="63"/>
      <c r="L239" s="63"/>
      <c r="M239" s="63"/>
      <c r="N239" s="63"/>
      <c r="O239" s="63"/>
      <c r="P239" s="63"/>
      <c r="Q239" s="63"/>
      <c r="R239" s="63"/>
      <c r="S239" s="63"/>
      <c r="T239" s="63"/>
      <c r="U239" s="63"/>
      <c r="V239" s="63"/>
      <c r="W239" s="63"/>
      <c r="X239" s="63"/>
      <c r="Y239" s="63"/>
      <c r="Z239" s="63"/>
      <c r="AA239" s="63"/>
      <c r="AB239" s="63"/>
      <c r="AC239" s="63"/>
      <c r="AD239" s="63"/>
      <c r="AE239" s="63"/>
      <c r="AF239" s="63"/>
      <c r="AG239" s="63"/>
      <c r="AH239" s="63"/>
      <c r="AI239" s="63"/>
      <c r="AK239" s="66" t="s">
        <v>444</v>
      </c>
      <c r="AL239" s="66">
        <v>880</v>
      </c>
      <c r="AN239" s="62" t="s">
        <v>210</v>
      </c>
      <c r="AO239" s="62" t="e">
        <v>#N/A</v>
      </c>
      <c r="AP239" s="62" t="e">
        <v>#N/A</v>
      </c>
      <c r="AQ239" s="62" t="e">
        <v>#N/A</v>
      </c>
      <c r="AR239" s="62" t="e">
        <v>#N/A</v>
      </c>
      <c r="AS239" s="62" t="e">
        <v>#N/A</v>
      </c>
      <c r="AT239" s="62" t="e">
        <v>#N/A</v>
      </c>
      <c r="AU239" s="62" t="e">
        <v>#N/A</v>
      </c>
      <c r="AV239" s="62" t="e">
        <v>#N/A</v>
      </c>
      <c r="AW239" s="62" t="e">
        <v>#N/A</v>
      </c>
      <c r="AX239" s="62" t="e">
        <v>#N/A</v>
      </c>
    </row>
    <row r="240" spans="4:50" s="66" customFormat="1">
      <c r="D240" s="75"/>
      <c r="E240" s="76"/>
      <c r="F240" s="63"/>
      <c r="G240" s="63"/>
      <c r="H240" s="63"/>
      <c r="I240" s="63"/>
      <c r="J240" s="63"/>
      <c r="K240" s="63"/>
      <c r="L240" s="63"/>
      <c r="M240" s="63"/>
      <c r="N240" s="63"/>
      <c r="O240" s="63"/>
      <c r="P240" s="63"/>
      <c r="Q240" s="63"/>
      <c r="R240" s="63"/>
      <c r="S240" s="63"/>
      <c r="T240" s="63"/>
      <c r="U240" s="63"/>
      <c r="V240" s="63"/>
      <c r="W240" s="63"/>
      <c r="X240" s="63"/>
      <c r="Y240" s="63"/>
      <c r="Z240" s="63"/>
      <c r="AA240" s="63"/>
      <c r="AB240" s="63"/>
      <c r="AC240" s="63"/>
      <c r="AD240" s="63"/>
      <c r="AE240" s="63"/>
      <c r="AF240" s="63"/>
      <c r="AG240" s="63"/>
      <c r="AH240" s="63"/>
      <c r="AI240" s="63"/>
      <c r="AK240" s="66" t="s">
        <v>445</v>
      </c>
      <c r="AL240" s="66">
        <v>885</v>
      </c>
      <c r="AN240" s="62" t="s">
        <v>210</v>
      </c>
      <c r="AO240" s="62" t="e">
        <v>#N/A</v>
      </c>
      <c r="AP240" s="62" t="e">
        <v>#N/A</v>
      </c>
      <c r="AQ240" s="62" t="e">
        <v>#N/A</v>
      </c>
      <c r="AR240" s="62" t="e">
        <v>#N/A</v>
      </c>
      <c r="AS240" s="62" t="e">
        <v>#N/A</v>
      </c>
      <c r="AT240" s="62" t="e">
        <v>#N/A</v>
      </c>
      <c r="AU240" s="62" t="e">
        <v>#N/A</v>
      </c>
      <c r="AV240" s="62" t="e">
        <v>#N/A</v>
      </c>
      <c r="AW240" s="62" t="e">
        <v>#N/A</v>
      </c>
      <c r="AX240" s="62" t="e">
        <v>#N/A</v>
      </c>
    </row>
    <row r="241" spans="4:50" s="66" customFormat="1">
      <c r="D241" s="75"/>
      <c r="E241" s="76"/>
      <c r="F241" s="63"/>
      <c r="G241" s="63"/>
      <c r="H241" s="63"/>
      <c r="I241" s="63"/>
      <c r="J241" s="63"/>
      <c r="K241" s="63"/>
      <c r="L241" s="63"/>
      <c r="M241" s="63"/>
      <c r="N241" s="63"/>
      <c r="O241" s="63"/>
      <c r="P241" s="63"/>
      <c r="Q241" s="63"/>
      <c r="R241" s="63"/>
      <c r="S241" s="63"/>
      <c r="T241" s="63"/>
      <c r="U241" s="63"/>
      <c r="V241" s="63"/>
      <c r="W241" s="63"/>
      <c r="X241" s="63"/>
      <c r="Y241" s="63"/>
      <c r="Z241" s="63"/>
      <c r="AA241" s="63"/>
      <c r="AB241" s="63"/>
      <c r="AC241" s="63"/>
      <c r="AD241" s="63"/>
      <c r="AE241" s="63"/>
      <c r="AF241" s="63"/>
      <c r="AG241" s="63"/>
      <c r="AH241" s="63"/>
      <c r="AI241" s="63"/>
      <c r="AK241" s="66" t="s">
        <v>446</v>
      </c>
      <c r="AL241" s="66">
        <v>890</v>
      </c>
      <c r="AN241" s="62" t="s">
        <v>210</v>
      </c>
      <c r="AO241" s="62" t="e">
        <v>#N/A</v>
      </c>
      <c r="AP241" s="62" t="e">
        <v>#N/A</v>
      </c>
      <c r="AQ241" s="62" t="e">
        <v>#N/A</v>
      </c>
      <c r="AR241" s="62" t="e">
        <v>#N/A</v>
      </c>
      <c r="AS241" s="62" t="e">
        <v>#N/A</v>
      </c>
      <c r="AT241" s="62" t="e">
        <v>#N/A</v>
      </c>
      <c r="AU241" s="62" t="e">
        <v>#N/A</v>
      </c>
      <c r="AV241" s="62" t="e">
        <v>#N/A</v>
      </c>
      <c r="AW241" s="62" t="e">
        <v>#N/A</v>
      </c>
      <c r="AX241" s="62" t="e">
        <v>#N/A</v>
      </c>
    </row>
    <row r="242" spans="4:50" s="66" customFormat="1">
      <c r="D242" s="75"/>
      <c r="E242" s="76"/>
      <c r="F242" s="63"/>
      <c r="G242" s="63"/>
      <c r="H242" s="63"/>
      <c r="I242" s="63"/>
      <c r="J242" s="63"/>
      <c r="K242" s="63"/>
      <c r="L242" s="63"/>
      <c r="M242" s="63"/>
      <c r="N242" s="63"/>
      <c r="O242" s="63"/>
      <c r="P242" s="63"/>
      <c r="Q242" s="63"/>
      <c r="R242" s="63"/>
      <c r="S242" s="63"/>
      <c r="T242" s="63"/>
      <c r="U242" s="63"/>
      <c r="V242" s="63"/>
      <c r="W242" s="63"/>
      <c r="X242" s="63"/>
      <c r="Y242" s="63"/>
      <c r="Z242" s="63"/>
      <c r="AA242" s="63"/>
      <c r="AB242" s="63"/>
      <c r="AC242" s="63"/>
      <c r="AD242" s="63"/>
      <c r="AE242" s="63"/>
      <c r="AF242" s="63"/>
      <c r="AG242" s="63"/>
      <c r="AH242" s="63"/>
      <c r="AI242" s="63"/>
      <c r="AK242" s="66" t="s">
        <v>447</v>
      </c>
      <c r="AL242" s="66">
        <v>895</v>
      </c>
      <c r="AN242" s="62" t="s">
        <v>210</v>
      </c>
      <c r="AO242" s="62" t="e">
        <v>#N/A</v>
      </c>
      <c r="AP242" s="62" t="e">
        <v>#N/A</v>
      </c>
      <c r="AQ242" s="62" t="e">
        <v>#N/A</v>
      </c>
      <c r="AR242" s="62" t="e">
        <v>#N/A</v>
      </c>
      <c r="AS242" s="62" t="e">
        <v>#N/A</v>
      </c>
      <c r="AT242" s="62" t="e">
        <v>#N/A</v>
      </c>
      <c r="AU242" s="62" t="e">
        <v>#N/A</v>
      </c>
      <c r="AV242" s="62" t="e">
        <v>#N/A</v>
      </c>
      <c r="AW242" s="62" t="e">
        <v>#N/A</v>
      </c>
      <c r="AX242" s="62" t="e">
        <v>#N/A</v>
      </c>
    </row>
    <row r="243" spans="4:50" s="66" customFormat="1">
      <c r="D243" s="75"/>
      <c r="E243" s="76"/>
      <c r="F243" s="63"/>
      <c r="G243" s="63"/>
      <c r="H243" s="63"/>
      <c r="I243" s="63"/>
      <c r="J243" s="63"/>
      <c r="K243" s="63"/>
      <c r="L243" s="63"/>
      <c r="M243" s="63"/>
      <c r="N243" s="63"/>
      <c r="O243" s="63"/>
      <c r="P243" s="63"/>
      <c r="Q243" s="63"/>
      <c r="R243" s="63"/>
      <c r="S243" s="63"/>
      <c r="T243" s="63"/>
      <c r="U243" s="63"/>
      <c r="V243" s="63"/>
      <c r="W243" s="63"/>
      <c r="X243" s="63"/>
      <c r="Y243" s="63"/>
      <c r="Z243" s="63"/>
      <c r="AA243" s="63"/>
      <c r="AB243" s="63"/>
      <c r="AC243" s="63"/>
      <c r="AD243" s="63"/>
      <c r="AE243" s="63"/>
      <c r="AF243" s="63"/>
      <c r="AG243" s="63"/>
      <c r="AH243" s="63"/>
      <c r="AI243" s="63"/>
      <c r="AK243" s="66" t="s">
        <v>448</v>
      </c>
      <c r="AL243" s="66">
        <v>900</v>
      </c>
      <c r="AN243" s="62" t="s">
        <v>210</v>
      </c>
      <c r="AO243" s="62" t="e">
        <v>#N/A</v>
      </c>
      <c r="AP243" s="62" t="e">
        <v>#N/A</v>
      </c>
      <c r="AQ243" s="62" t="e">
        <v>#N/A</v>
      </c>
      <c r="AR243" s="62" t="e">
        <v>#N/A</v>
      </c>
      <c r="AS243" s="62" t="e">
        <v>#N/A</v>
      </c>
      <c r="AT243" s="62" t="e">
        <v>#N/A</v>
      </c>
      <c r="AU243" s="62" t="e">
        <v>#N/A</v>
      </c>
      <c r="AV243" s="62" t="e">
        <v>#N/A</v>
      </c>
      <c r="AW243" s="62" t="e">
        <v>#N/A</v>
      </c>
      <c r="AX243" s="62" t="e">
        <v>#N/A</v>
      </c>
    </row>
    <row r="244" spans="4:50" s="66" customFormat="1">
      <c r="D244" s="75"/>
      <c r="E244" s="76"/>
      <c r="F244" s="63"/>
      <c r="G244" s="63"/>
      <c r="H244" s="63"/>
      <c r="I244" s="63"/>
      <c r="J244" s="63"/>
      <c r="K244" s="63"/>
      <c r="L244" s="63"/>
      <c r="M244" s="63"/>
      <c r="N244" s="63"/>
      <c r="O244" s="63"/>
      <c r="P244" s="63"/>
      <c r="Q244" s="63"/>
      <c r="R244" s="63"/>
      <c r="S244" s="63"/>
      <c r="T244" s="63"/>
      <c r="U244" s="63"/>
      <c r="V244" s="63"/>
      <c r="W244" s="63"/>
      <c r="X244" s="63"/>
      <c r="Y244" s="63"/>
      <c r="Z244" s="63"/>
      <c r="AA244" s="63"/>
      <c r="AB244" s="63"/>
      <c r="AC244" s="63"/>
      <c r="AD244" s="63"/>
      <c r="AE244" s="63"/>
      <c r="AF244" s="63"/>
      <c r="AG244" s="63"/>
      <c r="AH244" s="63"/>
      <c r="AI244" s="63"/>
      <c r="AK244" s="66" t="s">
        <v>449</v>
      </c>
      <c r="AL244" s="66">
        <v>905</v>
      </c>
      <c r="AN244" s="62" t="s">
        <v>210</v>
      </c>
      <c r="AO244" s="62" t="e">
        <v>#N/A</v>
      </c>
      <c r="AP244" s="62" t="e">
        <v>#N/A</v>
      </c>
      <c r="AQ244" s="62" t="e">
        <v>#N/A</v>
      </c>
      <c r="AR244" s="62" t="e">
        <v>#N/A</v>
      </c>
      <c r="AS244" s="62" t="e">
        <v>#N/A</v>
      </c>
      <c r="AT244" s="62" t="e">
        <v>#N/A</v>
      </c>
      <c r="AU244" s="62" t="e">
        <v>#N/A</v>
      </c>
      <c r="AV244" s="62" t="e">
        <v>#N/A</v>
      </c>
      <c r="AW244" s="62" t="e">
        <v>#N/A</v>
      </c>
      <c r="AX244" s="62" t="e">
        <v>#N/A</v>
      </c>
    </row>
    <row r="245" spans="4:50" s="66" customFormat="1">
      <c r="D245" s="75"/>
      <c r="E245" s="76"/>
      <c r="F245" s="63"/>
      <c r="G245" s="63"/>
      <c r="H245" s="63"/>
      <c r="I245" s="63"/>
      <c r="J245" s="63"/>
      <c r="K245" s="63"/>
      <c r="L245" s="63"/>
      <c r="M245" s="63"/>
      <c r="N245" s="63"/>
      <c r="O245" s="63"/>
      <c r="P245" s="63"/>
      <c r="Q245" s="63"/>
      <c r="R245" s="63"/>
      <c r="S245" s="63"/>
      <c r="T245" s="63"/>
      <c r="U245" s="63"/>
      <c r="V245" s="63"/>
      <c r="W245" s="63"/>
      <c r="X245" s="63"/>
      <c r="Y245" s="63"/>
      <c r="Z245" s="63"/>
      <c r="AA245" s="63"/>
      <c r="AB245" s="63"/>
      <c r="AC245" s="63"/>
      <c r="AD245" s="63"/>
      <c r="AE245" s="63"/>
      <c r="AF245" s="63"/>
      <c r="AG245" s="63"/>
      <c r="AH245" s="63"/>
      <c r="AI245" s="63"/>
      <c r="AK245" s="66" t="s">
        <v>450</v>
      </c>
      <c r="AL245" s="66">
        <v>910</v>
      </c>
      <c r="AN245" s="62" t="s">
        <v>210</v>
      </c>
      <c r="AO245" s="62" t="e">
        <v>#N/A</v>
      </c>
      <c r="AP245" s="62" t="e">
        <v>#N/A</v>
      </c>
      <c r="AQ245" s="62" t="e">
        <v>#N/A</v>
      </c>
      <c r="AR245" s="62" t="e">
        <v>#N/A</v>
      </c>
      <c r="AS245" s="62" t="e">
        <v>#N/A</v>
      </c>
      <c r="AT245" s="62" t="e">
        <v>#N/A</v>
      </c>
      <c r="AU245" s="62" t="e">
        <v>#N/A</v>
      </c>
      <c r="AV245" s="62" t="e">
        <v>#N/A</v>
      </c>
      <c r="AW245" s="62" t="e">
        <v>#N/A</v>
      </c>
      <c r="AX245" s="62" t="e">
        <v>#N/A</v>
      </c>
    </row>
    <row r="246" spans="4:50" s="66" customFormat="1">
      <c r="D246" s="75"/>
      <c r="E246" s="76"/>
      <c r="F246" s="63"/>
      <c r="G246" s="63"/>
      <c r="H246" s="63"/>
      <c r="I246" s="63"/>
      <c r="J246" s="63"/>
      <c r="K246" s="63"/>
      <c r="L246" s="63"/>
      <c r="M246" s="63"/>
      <c r="N246" s="63"/>
      <c r="O246" s="63"/>
      <c r="P246" s="63"/>
      <c r="Q246" s="63"/>
      <c r="R246" s="63"/>
      <c r="S246" s="63"/>
      <c r="T246" s="63"/>
      <c r="U246" s="63"/>
      <c r="V246" s="63"/>
      <c r="W246" s="63"/>
      <c r="X246" s="63"/>
      <c r="Y246" s="63"/>
      <c r="Z246" s="63"/>
      <c r="AA246" s="63"/>
      <c r="AB246" s="63"/>
      <c r="AC246" s="63"/>
      <c r="AD246" s="63"/>
      <c r="AE246" s="63"/>
      <c r="AF246" s="63"/>
      <c r="AG246" s="63"/>
      <c r="AH246" s="63"/>
      <c r="AI246" s="63"/>
      <c r="AK246" s="66" t="s">
        <v>451</v>
      </c>
      <c r="AL246" s="66">
        <v>915</v>
      </c>
      <c r="AN246" s="62" t="s">
        <v>210</v>
      </c>
      <c r="AO246" s="62" t="e">
        <v>#N/A</v>
      </c>
      <c r="AP246" s="62" t="e">
        <v>#N/A</v>
      </c>
      <c r="AQ246" s="62" t="e">
        <v>#N/A</v>
      </c>
      <c r="AR246" s="62" t="e">
        <v>#N/A</v>
      </c>
      <c r="AS246" s="62" t="e">
        <v>#N/A</v>
      </c>
      <c r="AT246" s="62" t="e">
        <v>#N/A</v>
      </c>
      <c r="AU246" s="62" t="e">
        <v>#N/A</v>
      </c>
      <c r="AV246" s="62" t="e">
        <v>#N/A</v>
      </c>
      <c r="AW246" s="62" t="e">
        <v>#N/A</v>
      </c>
      <c r="AX246" s="62" t="e">
        <v>#N/A</v>
      </c>
    </row>
    <row r="247" spans="4:50" s="66" customFormat="1">
      <c r="D247" s="75"/>
      <c r="E247" s="76"/>
      <c r="F247" s="63"/>
      <c r="G247" s="63"/>
      <c r="H247" s="63"/>
      <c r="I247" s="63"/>
      <c r="J247" s="63"/>
      <c r="K247" s="63"/>
      <c r="L247" s="63"/>
      <c r="M247" s="63"/>
      <c r="N247" s="63"/>
      <c r="O247" s="63"/>
      <c r="P247" s="63"/>
      <c r="Q247" s="63"/>
      <c r="R247" s="63"/>
      <c r="S247" s="63"/>
      <c r="T247" s="63"/>
      <c r="U247" s="63"/>
      <c r="V247" s="63"/>
      <c r="W247" s="63"/>
      <c r="X247" s="63"/>
      <c r="Y247" s="63"/>
      <c r="Z247" s="63"/>
      <c r="AA247" s="63"/>
      <c r="AB247" s="63"/>
      <c r="AC247" s="63"/>
      <c r="AD247" s="63"/>
      <c r="AE247" s="63"/>
      <c r="AF247" s="63"/>
      <c r="AG247" s="63"/>
      <c r="AH247" s="63"/>
      <c r="AI247" s="63"/>
      <c r="AK247" s="66" t="s">
        <v>452</v>
      </c>
      <c r="AL247" s="66">
        <v>920</v>
      </c>
      <c r="AN247" s="62" t="s">
        <v>210</v>
      </c>
      <c r="AO247" s="62" t="e">
        <v>#N/A</v>
      </c>
      <c r="AP247" s="62" t="e">
        <v>#N/A</v>
      </c>
      <c r="AQ247" s="62" t="e">
        <v>#N/A</v>
      </c>
      <c r="AR247" s="62" t="e">
        <v>#N/A</v>
      </c>
      <c r="AS247" s="62" t="e">
        <v>#N/A</v>
      </c>
      <c r="AT247" s="62" t="e">
        <v>#N/A</v>
      </c>
      <c r="AU247" s="62" t="e">
        <v>#N/A</v>
      </c>
      <c r="AV247" s="62" t="e">
        <v>#N/A</v>
      </c>
      <c r="AW247" s="62" t="e">
        <v>#N/A</v>
      </c>
      <c r="AX247" s="62" t="e">
        <v>#N/A</v>
      </c>
    </row>
    <row r="248" spans="4:50" s="66" customFormat="1">
      <c r="D248" s="75"/>
      <c r="E248" s="76"/>
      <c r="F248" s="63"/>
      <c r="G248" s="63"/>
      <c r="H248" s="63"/>
      <c r="I248" s="63"/>
      <c r="J248" s="63"/>
      <c r="K248" s="63"/>
      <c r="L248" s="63"/>
      <c r="M248" s="63"/>
      <c r="N248" s="63"/>
      <c r="O248" s="63"/>
      <c r="P248" s="63"/>
      <c r="Q248" s="63"/>
      <c r="R248" s="63"/>
      <c r="S248" s="63"/>
      <c r="T248" s="63"/>
      <c r="U248" s="63"/>
      <c r="V248" s="63"/>
      <c r="W248" s="63"/>
      <c r="X248" s="63"/>
      <c r="Y248" s="63"/>
      <c r="Z248" s="63"/>
      <c r="AA248" s="63"/>
      <c r="AB248" s="63"/>
      <c r="AC248" s="63"/>
      <c r="AD248" s="63"/>
      <c r="AE248" s="63"/>
      <c r="AF248" s="63"/>
      <c r="AG248" s="63"/>
      <c r="AH248" s="63"/>
      <c r="AI248" s="63"/>
      <c r="AK248" s="66" t="s">
        <v>453</v>
      </c>
      <c r="AL248" s="66">
        <v>925</v>
      </c>
      <c r="AN248" s="62" t="s">
        <v>210</v>
      </c>
      <c r="AO248" s="62" t="e">
        <v>#N/A</v>
      </c>
      <c r="AP248" s="62" t="e">
        <v>#N/A</v>
      </c>
      <c r="AQ248" s="62" t="e">
        <v>#N/A</v>
      </c>
      <c r="AR248" s="62" t="e">
        <v>#N/A</v>
      </c>
      <c r="AS248" s="62" t="e">
        <v>#N/A</v>
      </c>
      <c r="AT248" s="62" t="e">
        <v>#N/A</v>
      </c>
      <c r="AU248" s="62" t="e">
        <v>#N/A</v>
      </c>
      <c r="AV248" s="62" t="e">
        <v>#N/A</v>
      </c>
      <c r="AW248" s="62" t="e">
        <v>#N/A</v>
      </c>
      <c r="AX248" s="62" t="e">
        <v>#N/A</v>
      </c>
    </row>
    <row r="249" spans="4:50" s="66" customFormat="1">
      <c r="D249" s="75"/>
      <c r="E249" s="76"/>
      <c r="F249" s="63"/>
      <c r="G249" s="63"/>
      <c r="H249" s="63"/>
      <c r="I249" s="63"/>
      <c r="J249" s="63"/>
      <c r="K249" s="63"/>
      <c r="L249" s="63"/>
      <c r="M249" s="63"/>
      <c r="N249" s="63"/>
      <c r="O249" s="63"/>
      <c r="P249" s="63"/>
      <c r="Q249" s="63"/>
      <c r="R249" s="63"/>
      <c r="S249" s="63"/>
      <c r="T249" s="63"/>
      <c r="U249" s="63"/>
      <c r="V249" s="63"/>
      <c r="W249" s="63"/>
      <c r="X249" s="63"/>
      <c r="Y249" s="63"/>
      <c r="Z249" s="63"/>
      <c r="AA249" s="63"/>
      <c r="AB249" s="63"/>
      <c r="AC249" s="63"/>
      <c r="AD249" s="63"/>
      <c r="AE249" s="63"/>
      <c r="AF249" s="63"/>
      <c r="AG249" s="63"/>
      <c r="AH249" s="63"/>
      <c r="AI249" s="63"/>
      <c r="AK249" s="66" t="s">
        <v>454</v>
      </c>
      <c r="AL249" s="66">
        <v>930</v>
      </c>
      <c r="AN249" s="62" t="s">
        <v>210</v>
      </c>
      <c r="AO249" s="62" t="e">
        <v>#N/A</v>
      </c>
      <c r="AP249" s="62" t="e">
        <v>#N/A</v>
      </c>
      <c r="AQ249" s="62" t="e">
        <v>#N/A</v>
      </c>
      <c r="AR249" s="62" t="e">
        <v>#N/A</v>
      </c>
      <c r="AS249" s="62" t="e">
        <v>#N/A</v>
      </c>
      <c r="AT249" s="62" t="e">
        <v>#N/A</v>
      </c>
      <c r="AU249" s="62" t="e">
        <v>#N/A</v>
      </c>
      <c r="AV249" s="62" t="e">
        <v>#N/A</v>
      </c>
      <c r="AW249" s="62" t="e">
        <v>#N/A</v>
      </c>
      <c r="AX249" s="62" t="e">
        <v>#N/A</v>
      </c>
    </row>
    <row r="250" spans="4:50" s="66" customFormat="1">
      <c r="D250" s="75"/>
      <c r="E250" s="76"/>
      <c r="F250" s="63"/>
      <c r="G250" s="63"/>
      <c r="H250" s="63"/>
      <c r="I250" s="63"/>
      <c r="J250" s="63"/>
      <c r="K250" s="63"/>
      <c r="L250" s="63"/>
      <c r="M250" s="63"/>
      <c r="N250" s="63"/>
      <c r="O250" s="63"/>
      <c r="P250" s="63"/>
      <c r="Q250" s="63"/>
      <c r="R250" s="63"/>
      <c r="S250" s="63"/>
      <c r="T250" s="63"/>
      <c r="U250" s="63"/>
      <c r="V250" s="63"/>
      <c r="W250" s="63"/>
      <c r="X250" s="63"/>
      <c r="Y250" s="63"/>
      <c r="Z250" s="63"/>
      <c r="AA250" s="63"/>
      <c r="AB250" s="63"/>
      <c r="AC250" s="63"/>
      <c r="AD250" s="63"/>
      <c r="AE250" s="63"/>
      <c r="AF250" s="63"/>
      <c r="AG250" s="63"/>
      <c r="AH250" s="63"/>
      <c r="AI250" s="63"/>
      <c r="AK250" s="66" t="s">
        <v>455</v>
      </c>
      <c r="AL250" s="66">
        <v>935</v>
      </c>
      <c r="AN250" s="62" t="s">
        <v>210</v>
      </c>
      <c r="AO250" s="62" t="e">
        <v>#N/A</v>
      </c>
      <c r="AP250" s="62" t="e">
        <v>#N/A</v>
      </c>
      <c r="AQ250" s="62" t="e">
        <v>#N/A</v>
      </c>
      <c r="AR250" s="62" t="e">
        <v>#N/A</v>
      </c>
      <c r="AS250" s="62" t="e">
        <v>#N/A</v>
      </c>
      <c r="AT250" s="62" t="e">
        <v>#N/A</v>
      </c>
      <c r="AU250" s="62" t="e">
        <v>#N/A</v>
      </c>
      <c r="AV250" s="62" t="e">
        <v>#N/A</v>
      </c>
      <c r="AW250" s="62" t="e">
        <v>#N/A</v>
      </c>
      <c r="AX250" s="62" t="e">
        <v>#N/A</v>
      </c>
    </row>
    <row r="251" spans="4:50" s="66" customFormat="1">
      <c r="D251" s="75"/>
      <c r="E251" s="76"/>
      <c r="F251" s="63"/>
      <c r="G251" s="63"/>
      <c r="H251" s="63"/>
      <c r="I251" s="63"/>
      <c r="J251" s="63"/>
      <c r="K251" s="63"/>
      <c r="L251" s="63"/>
      <c r="M251" s="63"/>
      <c r="N251" s="63"/>
      <c r="O251" s="63"/>
      <c r="P251" s="63"/>
      <c r="Q251" s="63"/>
      <c r="R251" s="63"/>
      <c r="S251" s="63"/>
      <c r="T251" s="63"/>
      <c r="U251" s="63"/>
      <c r="V251" s="63"/>
      <c r="W251" s="63"/>
      <c r="X251" s="63"/>
      <c r="Y251" s="63"/>
      <c r="Z251" s="63"/>
      <c r="AA251" s="63"/>
      <c r="AB251" s="63"/>
      <c r="AC251" s="63"/>
      <c r="AD251" s="63"/>
      <c r="AE251" s="63"/>
      <c r="AF251" s="63"/>
      <c r="AG251" s="63"/>
      <c r="AH251" s="63"/>
      <c r="AI251" s="63"/>
      <c r="AK251" s="66" t="s">
        <v>456</v>
      </c>
      <c r="AL251" s="66">
        <v>940</v>
      </c>
      <c r="AN251" s="62" t="s">
        <v>210</v>
      </c>
      <c r="AO251" s="62" t="e">
        <v>#N/A</v>
      </c>
      <c r="AP251" s="62" t="e">
        <v>#N/A</v>
      </c>
      <c r="AQ251" s="62" t="e">
        <v>#N/A</v>
      </c>
      <c r="AR251" s="62" t="e">
        <v>#N/A</v>
      </c>
      <c r="AS251" s="62" t="e">
        <v>#N/A</v>
      </c>
      <c r="AT251" s="62" t="e">
        <v>#N/A</v>
      </c>
      <c r="AU251" s="62" t="e">
        <v>#N/A</v>
      </c>
      <c r="AV251" s="62" t="e">
        <v>#N/A</v>
      </c>
      <c r="AW251" s="62" t="e">
        <v>#N/A</v>
      </c>
      <c r="AX251" s="62" t="e">
        <v>#N/A</v>
      </c>
    </row>
    <row r="252" spans="4:50" s="66" customFormat="1">
      <c r="D252" s="75"/>
      <c r="E252" s="76"/>
      <c r="F252" s="63"/>
      <c r="G252" s="63"/>
      <c r="H252" s="63"/>
      <c r="I252" s="63"/>
      <c r="J252" s="63"/>
      <c r="K252" s="63"/>
      <c r="L252" s="63"/>
      <c r="M252" s="63"/>
      <c r="N252" s="63"/>
      <c r="O252" s="63"/>
      <c r="P252" s="63"/>
      <c r="Q252" s="63"/>
      <c r="R252" s="63"/>
      <c r="S252" s="63"/>
      <c r="T252" s="63"/>
      <c r="U252" s="63"/>
      <c r="V252" s="63"/>
      <c r="W252" s="63"/>
      <c r="X252" s="63"/>
      <c r="Y252" s="63"/>
      <c r="Z252" s="63"/>
      <c r="AA252" s="63"/>
      <c r="AB252" s="63"/>
      <c r="AC252" s="63"/>
      <c r="AD252" s="63"/>
      <c r="AE252" s="63"/>
      <c r="AF252" s="63"/>
      <c r="AG252" s="63"/>
      <c r="AH252" s="63"/>
      <c r="AI252" s="63"/>
      <c r="AK252" s="66" t="s">
        <v>457</v>
      </c>
      <c r="AL252" s="66">
        <v>945</v>
      </c>
      <c r="AN252" s="62" t="s">
        <v>210</v>
      </c>
      <c r="AO252" s="62" t="e">
        <v>#N/A</v>
      </c>
      <c r="AP252" s="62" t="e">
        <v>#N/A</v>
      </c>
      <c r="AQ252" s="62" t="e">
        <v>#N/A</v>
      </c>
      <c r="AR252" s="62" t="e">
        <v>#N/A</v>
      </c>
      <c r="AS252" s="62" t="e">
        <v>#N/A</v>
      </c>
      <c r="AT252" s="62" t="e">
        <v>#N/A</v>
      </c>
      <c r="AU252" s="62" t="e">
        <v>#N/A</v>
      </c>
      <c r="AV252" s="62" t="e">
        <v>#N/A</v>
      </c>
      <c r="AW252" s="62" t="e">
        <v>#N/A</v>
      </c>
      <c r="AX252" s="62" t="e">
        <v>#N/A</v>
      </c>
    </row>
    <row r="253" spans="4:50" s="66" customFormat="1">
      <c r="D253" s="75"/>
      <c r="E253" s="76"/>
      <c r="F253" s="63"/>
      <c r="G253" s="63"/>
      <c r="H253" s="63"/>
      <c r="I253" s="63"/>
      <c r="J253" s="63"/>
      <c r="K253" s="63"/>
      <c r="L253" s="63"/>
      <c r="M253" s="63"/>
      <c r="N253" s="63"/>
      <c r="O253" s="63"/>
      <c r="P253" s="63"/>
      <c r="Q253" s="63"/>
      <c r="R253" s="63"/>
      <c r="S253" s="63"/>
      <c r="T253" s="63"/>
      <c r="U253" s="63"/>
      <c r="V253" s="63"/>
      <c r="W253" s="63"/>
      <c r="X253" s="63"/>
      <c r="Y253" s="63"/>
      <c r="Z253" s="63"/>
      <c r="AA253" s="63"/>
      <c r="AB253" s="63"/>
      <c r="AC253" s="63"/>
      <c r="AD253" s="63"/>
      <c r="AE253" s="63"/>
      <c r="AF253" s="63"/>
      <c r="AG253" s="63"/>
      <c r="AH253" s="63"/>
      <c r="AI253" s="63"/>
      <c r="AK253" s="66" t="s">
        <v>458</v>
      </c>
      <c r="AL253" s="66">
        <v>950</v>
      </c>
      <c r="AN253" s="62" t="s">
        <v>210</v>
      </c>
      <c r="AO253" s="62" t="e">
        <v>#N/A</v>
      </c>
      <c r="AP253" s="62" t="e">
        <v>#N/A</v>
      </c>
      <c r="AQ253" s="62" t="e">
        <v>#N/A</v>
      </c>
      <c r="AR253" s="62" t="e">
        <v>#N/A</v>
      </c>
      <c r="AS253" s="62" t="e">
        <v>#N/A</v>
      </c>
      <c r="AT253" s="62" t="e">
        <v>#N/A</v>
      </c>
      <c r="AU253" s="62" t="e">
        <v>#N/A</v>
      </c>
      <c r="AV253" s="62" t="e">
        <v>#N/A</v>
      </c>
      <c r="AW253" s="62" t="e">
        <v>#N/A</v>
      </c>
      <c r="AX253" s="62" t="e">
        <v>#N/A</v>
      </c>
    </row>
    <row r="254" spans="4:50" s="66" customFormat="1">
      <c r="D254" s="75"/>
      <c r="E254" s="76"/>
      <c r="F254" s="63"/>
      <c r="G254" s="63"/>
      <c r="H254" s="63"/>
      <c r="I254" s="63"/>
      <c r="J254" s="63"/>
      <c r="K254" s="63"/>
      <c r="L254" s="63"/>
      <c r="M254" s="63"/>
      <c r="N254" s="63"/>
      <c r="O254" s="63"/>
      <c r="P254" s="63"/>
      <c r="Q254" s="63"/>
      <c r="R254" s="63"/>
      <c r="S254" s="63"/>
      <c r="T254" s="63"/>
      <c r="U254" s="63"/>
      <c r="V254" s="63"/>
      <c r="W254" s="63"/>
      <c r="X254" s="63"/>
      <c r="Y254" s="63"/>
      <c r="Z254" s="63"/>
      <c r="AA254" s="63"/>
      <c r="AB254" s="63"/>
      <c r="AC254" s="63"/>
      <c r="AD254" s="63"/>
      <c r="AE254" s="63"/>
      <c r="AF254" s="63"/>
      <c r="AG254" s="63"/>
      <c r="AH254" s="63"/>
      <c r="AI254" s="63"/>
      <c r="AK254" s="66" t="s">
        <v>459</v>
      </c>
      <c r="AL254" s="66">
        <v>955</v>
      </c>
      <c r="AN254" s="62" t="s">
        <v>210</v>
      </c>
      <c r="AO254" s="62" t="e">
        <v>#N/A</v>
      </c>
      <c r="AP254" s="62" t="e">
        <v>#N/A</v>
      </c>
      <c r="AQ254" s="62" t="e">
        <v>#N/A</v>
      </c>
      <c r="AR254" s="62" t="e">
        <v>#N/A</v>
      </c>
      <c r="AS254" s="62" t="e">
        <v>#N/A</v>
      </c>
      <c r="AT254" s="62" t="e">
        <v>#N/A</v>
      </c>
      <c r="AU254" s="62" t="e">
        <v>#N/A</v>
      </c>
      <c r="AV254" s="62" t="e">
        <v>#N/A</v>
      </c>
      <c r="AW254" s="62" t="e">
        <v>#N/A</v>
      </c>
      <c r="AX254" s="62" t="e">
        <v>#N/A</v>
      </c>
    </row>
    <row r="255" spans="4:50" s="66" customFormat="1">
      <c r="D255" s="75"/>
      <c r="E255" s="76"/>
      <c r="F255" s="63"/>
      <c r="G255" s="63"/>
      <c r="H255" s="63"/>
      <c r="I255" s="63"/>
      <c r="J255" s="63"/>
      <c r="K255" s="63"/>
      <c r="L255" s="63"/>
      <c r="M255" s="63"/>
      <c r="N255" s="63"/>
      <c r="O255" s="63"/>
      <c r="P255" s="63"/>
      <c r="Q255" s="63"/>
      <c r="R255" s="63"/>
      <c r="S255" s="63"/>
      <c r="T255" s="63"/>
      <c r="U255" s="63"/>
      <c r="V255" s="63"/>
      <c r="W255" s="63"/>
      <c r="X255" s="63"/>
      <c r="Y255" s="63"/>
      <c r="Z255" s="63"/>
      <c r="AA255" s="63"/>
      <c r="AB255" s="63"/>
      <c r="AC255" s="63"/>
      <c r="AD255" s="63"/>
      <c r="AE255" s="63"/>
      <c r="AF255" s="63"/>
      <c r="AG255" s="63"/>
      <c r="AH255" s="63"/>
      <c r="AI255" s="63"/>
      <c r="AK255" s="66" t="s">
        <v>460</v>
      </c>
      <c r="AL255" s="66">
        <v>960</v>
      </c>
      <c r="AN255" s="62" t="s">
        <v>210</v>
      </c>
      <c r="AO255" s="62" t="e">
        <v>#N/A</v>
      </c>
      <c r="AP255" s="62" t="e">
        <v>#N/A</v>
      </c>
      <c r="AQ255" s="62" t="e">
        <v>#N/A</v>
      </c>
      <c r="AR255" s="62" t="e">
        <v>#N/A</v>
      </c>
      <c r="AS255" s="62" t="e">
        <v>#N/A</v>
      </c>
      <c r="AT255" s="62" t="e">
        <v>#N/A</v>
      </c>
      <c r="AU255" s="62" t="e">
        <v>#N/A</v>
      </c>
      <c r="AV255" s="62" t="e">
        <v>#N/A</v>
      </c>
      <c r="AW255" s="62" t="e">
        <v>#N/A</v>
      </c>
      <c r="AX255" s="62" t="e">
        <v>#N/A</v>
      </c>
    </row>
    <row r="256" spans="4:50" s="66" customFormat="1">
      <c r="D256" s="75"/>
      <c r="E256" s="76"/>
      <c r="F256" s="63"/>
      <c r="G256" s="63"/>
      <c r="H256" s="63"/>
      <c r="I256" s="63"/>
      <c r="J256" s="63"/>
      <c r="K256" s="63"/>
      <c r="L256" s="63"/>
      <c r="M256" s="63"/>
      <c r="N256" s="63"/>
      <c r="O256" s="63"/>
      <c r="P256" s="63"/>
      <c r="Q256" s="63"/>
      <c r="R256" s="63"/>
      <c r="S256" s="63"/>
      <c r="T256" s="63"/>
      <c r="U256" s="63"/>
      <c r="V256" s="63"/>
      <c r="W256" s="63"/>
      <c r="X256" s="63"/>
      <c r="Y256" s="63"/>
      <c r="Z256" s="63"/>
      <c r="AA256" s="63"/>
      <c r="AB256" s="63"/>
      <c r="AC256" s="63"/>
      <c r="AD256" s="63"/>
      <c r="AE256" s="63"/>
      <c r="AF256" s="63"/>
      <c r="AG256" s="63"/>
      <c r="AH256" s="63"/>
      <c r="AI256" s="63"/>
      <c r="AK256" s="66" t="s">
        <v>461</v>
      </c>
      <c r="AL256" s="66">
        <v>965</v>
      </c>
      <c r="AN256" s="62" t="s">
        <v>210</v>
      </c>
      <c r="AO256" s="62" t="e">
        <v>#N/A</v>
      </c>
      <c r="AP256" s="62" t="e">
        <v>#N/A</v>
      </c>
      <c r="AQ256" s="62" t="e">
        <v>#N/A</v>
      </c>
      <c r="AR256" s="62" t="e">
        <v>#N/A</v>
      </c>
      <c r="AS256" s="62" t="e">
        <v>#N/A</v>
      </c>
      <c r="AT256" s="62" t="e">
        <v>#N/A</v>
      </c>
      <c r="AU256" s="62" t="e">
        <v>#N/A</v>
      </c>
      <c r="AV256" s="62" t="e">
        <v>#N/A</v>
      </c>
      <c r="AW256" s="62" t="e">
        <v>#N/A</v>
      </c>
      <c r="AX256" s="62" t="e">
        <v>#N/A</v>
      </c>
    </row>
    <row r="257" spans="4:50" s="66" customFormat="1">
      <c r="D257" s="75"/>
      <c r="E257" s="76"/>
      <c r="F257" s="63"/>
      <c r="G257" s="63"/>
      <c r="H257" s="63"/>
      <c r="I257" s="63"/>
      <c r="J257" s="63"/>
      <c r="K257" s="63"/>
      <c r="L257" s="63"/>
      <c r="M257" s="63"/>
      <c r="N257" s="63"/>
      <c r="O257" s="63"/>
      <c r="P257" s="63"/>
      <c r="Q257" s="63"/>
      <c r="R257" s="63"/>
      <c r="S257" s="63"/>
      <c r="T257" s="63"/>
      <c r="U257" s="63"/>
      <c r="V257" s="63"/>
      <c r="W257" s="63"/>
      <c r="X257" s="63"/>
      <c r="Y257" s="63"/>
      <c r="Z257" s="63"/>
      <c r="AA257" s="63"/>
      <c r="AB257" s="63"/>
      <c r="AC257" s="63"/>
      <c r="AD257" s="63"/>
      <c r="AE257" s="63"/>
      <c r="AF257" s="63"/>
      <c r="AG257" s="63"/>
      <c r="AH257" s="63"/>
      <c r="AI257" s="63"/>
      <c r="AK257" s="66" t="s">
        <v>462</v>
      </c>
      <c r="AL257" s="66">
        <v>970</v>
      </c>
      <c r="AN257" s="62" t="s">
        <v>210</v>
      </c>
      <c r="AO257" s="62" t="e">
        <v>#N/A</v>
      </c>
      <c r="AP257" s="62" t="e">
        <v>#N/A</v>
      </c>
      <c r="AQ257" s="62" t="e">
        <v>#N/A</v>
      </c>
      <c r="AR257" s="62" t="e">
        <v>#N/A</v>
      </c>
      <c r="AS257" s="62" t="e">
        <v>#N/A</v>
      </c>
      <c r="AT257" s="62" t="e">
        <v>#N/A</v>
      </c>
      <c r="AU257" s="62" t="e">
        <v>#N/A</v>
      </c>
      <c r="AV257" s="62" t="e">
        <v>#N/A</v>
      </c>
      <c r="AW257" s="62" t="e">
        <v>#N/A</v>
      </c>
      <c r="AX257" s="62" t="e">
        <v>#N/A</v>
      </c>
    </row>
    <row r="258" spans="4:50" s="66" customFormat="1">
      <c r="D258" s="75"/>
      <c r="E258" s="76"/>
      <c r="F258" s="63"/>
      <c r="G258" s="63"/>
      <c r="H258" s="63"/>
      <c r="I258" s="63"/>
      <c r="J258" s="63"/>
      <c r="K258" s="63"/>
      <c r="L258" s="63"/>
      <c r="M258" s="63"/>
      <c r="N258" s="63"/>
      <c r="O258" s="63"/>
      <c r="P258" s="63"/>
      <c r="Q258" s="63"/>
      <c r="R258" s="63"/>
      <c r="S258" s="63"/>
      <c r="T258" s="63"/>
      <c r="U258" s="63"/>
      <c r="V258" s="63"/>
      <c r="W258" s="63"/>
      <c r="X258" s="63"/>
      <c r="Y258" s="63"/>
      <c r="Z258" s="63"/>
      <c r="AA258" s="63"/>
      <c r="AB258" s="63"/>
      <c r="AC258" s="63"/>
      <c r="AD258" s="63"/>
      <c r="AE258" s="63"/>
      <c r="AF258" s="63"/>
      <c r="AG258" s="63"/>
      <c r="AH258" s="63"/>
      <c r="AI258" s="63"/>
      <c r="AK258" s="66" t="s">
        <v>463</v>
      </c>
      <c r="AL258" s="66">
        <v>975</v>
      </c>
      <c r="AN258" s="62" t="s">
        <v>210</v>
      </c>
      <c r="AO258" s="62" t="e">
        <v>#N/A</v>
      </c>
      <c r="AP258" s="62" t="e">
        <v>#N/A</v>
      </c>
      <c r="AQ258" s="62" t="e">
        <v>#N/A</v>
      </c>
      <c r="AR258" s="62" t="e">
        <v>#N/A</v>
      </c>
      <c r="AS258" s="62" t="e">
        <v>#N/A</v>
      </c>
      <c r="AT258" s="62" t="e">
        <v>#N/A</v>
      </c>
      <c r="AU258" s="62" t="e">
        <v>#N/A</v>
      </c>
      <c r="AV258" s="62" t="e">
        <v>#N/A</v>
      </c>
      <c r="AW258" s="62" t="e">
        <v>#N/A</v>
      </c>
      <c r="AX258" s="62" t="e">
        <v>#N/A</v>
      </c>
    </row>
    <row r="259" spans="4:50" s="66" customFormat="1">
      <c r="D259" s="75"/>
      <c r="E259" s="76"/>
      <c r="F259" s="63"/>
      <c r="G259" s="63"/>
      <c r="H259" s="63"/>
      <c r="I259" s="63"/>
      <c r="J259" s="63"/>
      <c r="K259" s="63"/>
      <c r="L259" s="63"/>
      <c r="M259" s="63"/>
      <c r="N259" s="63"/>
      <c r="O259" s="63"/>
      <c r="P259" s="63"/>
      <c r="Q259" s="63"/>
      <c r="R259" s="63"/>
      <c r="S259" s="63"/>
      <c r="T259" s="63"/>
      <c r="U259" s="63"/>
      <c r="V259" s="63"/>
      <c r="W259" s="63"/>
      <c r="X259" s="63"/>
      <c r="Y259" s="63"/>
      <c r="Z259" s="63"/>
      <c r="AA259" s="63"/>
      <c r="AB259" s="63"/>
      <c r="AC259" s="63"/>
      <c r="AD259" s="63"/>
      <c r="AE259" s="63"/>
      <c r="AF259" s="63"/>
      <c r="AG259" s="63"/>
      <c r="AH259" s="63"/>
      <c r="AI259" s="63"/>
      <c r="AK259" s="66" t="s">
        <v>464</v>
      </c>
      <c r="AL259" s="66">
        <v>980</v>
      </c>
      <c r="AN259" s="62" t="s">
        <v>210</v>
      </c>
      <c r="AO259" s="62" t="e">
        <v>#N/A</v>
      </c>
      <c r="AP259" s="62" t="e">
        <v>#N/A</v>
      </c>
      <c r="AQ259" s="62" t="e">
        <v>#N/A</v>
      </c>
      <c r="AR259" s="62" t="e">
        <v>#N/A</v>
      </c>
      <c r="AS259" s="62" t="e">
        <v>#N/A</v>
      </c>
      <c r="AT259" s="62" t="e">
        <v>#N/A</v>
      </c>
      <c r="AU259" s="62" t="e">
        <v>#N/A</v>
      </c>
      <c r="AV259" s="62" t="e">
        <v>#N/A</v>
      </c>
      <c r="AW259" s="62" t="e">
        <v>#N/A</v>
      </c>
      <c r="AX259" s="62" t="e">
        <v>#N/A</v>
      </c>
    </row>
    <row r="260" spans="4:50" s="66" customFormat="1">
      <c r="D260" s="75"/>
      <c r="E260" s="76"/>
      <c r="F260" s="63"/>
      <c r="G260" s="63"/>
      <c r="H260" s="63"/>
      <c r="I260" s="63"/>
      <c r="J260" s="63"/>
      <c r="K260" s="63"/>
      <c r="L260" s="63"/>
      <c r="M260" s="63"/>
      <c r="N260" s="63"/>
      <c r="O260" s="63"/>
      <c r="P260" s="63"/>
      <c r="Q260" s="63"/>
      <c r="R260" s="63"/>
      <c r="S260" s="63"/>
      <c r="T260" s="63"/>
      <c r="U260" s="63"/>
      <c r="V260" s="63"/>
      <c r="W260" s="63"/>
      <c r="X260" s="63"/>
      <c r="Y260" s="63"/>
      <c r="Z260" s="63"/>
      <c r="AA260" s="63"/>
      <c r="AB260" s="63"/>
      <c r="AC260" s="63"/>
      <c r="AD260" s="63"/>
      <c r="AE260" s="63"/>
      <c r="AF260" s="63"/>
      <c r="AG260" s="63"/>
      <c r="AH260" s="63"/>
      <c r="AI260" s="63"/>
      <c r="AK260" s="66" t="s">
        <v>465</v>
      </c>
      <c r="AL260" s="66">
        <v>985</v>
      </c>
      <c r="AN260" s="62" t="s">
        <v>210</v>
      </c>
      <c r="AO260" s="62" t="e">
        <v>#N/A</v>
      </c>
      <c r="AP260" s="62" t="e">
        <v>#N/A</v>
      </c>
      <c r="AQ260" s="62" t="e">
        <v>#N/A</v>
      </c>
      <c r="AR260" s="62" t="e">
        <v>#N/A</v>
      </c>
      <c r="AS260" s="62" t="e">
        <v>#N/A</v>
      </c>
      <c r="AT260" s="62" t="e">
        <v>#N/A</v>
      </c>
      <c r="AU260" s="62" t="e">
        <v>#N/A</v>
      </c>
      <c r="AV260" s="62" t="e">
        <v>#N/A</v>
      </c>
      <c r="AW260" s="62" t="e">
        <v>#N/A</v>
      </c>
      <c r="AX260" s="62" t="e">
        <v>#N/A</v>
      </c>
    </row>
    <row r="261" spans="4:50" s="66" customFormat="1">
      <c r="D261" s="75"/>
      <c r="E261" s="76"/>
      <c r="F261" s="63"/>
      <c r="G261" s="63"/>
      <c r="H261" s="63"/>
      <c r="I261" s="63"/>
      <c r="J261" s="63"/>
      <c r="K261" s="63"/>
      <c r="L261" s="63"/>
      <c r="M261" s="63"/>
      <c r="N261" s="63"/>
      <c r="O261" s="63"/>
      <c r="P261" s="63"/>
      <c r="Q261" s="63"/>
      <c r="R261" s="63"/>
      <c r="S261" s="63"/>
      <c r="T261" s="63"/>
      <c r="U261" s="63"/>
      <c r="V261" s="63"/>
      <c r="W261" s="63"/>
      <c r="X261" s="63"/>
      <c r="Y261" s="63"/>
      <c r="Z261" s="63"/>
      <c r="AA261" s="63"/>
      <c r="AB261" s="63"/>
      <c r="AC261" s="63"/>
      <c r="AD261" s="63"/>
      <c r="AE261" s="63"/>
      <c r="AF261" s="63"/>
      <c r="AG261" s="63"/>
      <c r="AH261" s="63"/>
      <c r="AI261" s="63"/>
      <c r="AK261" s="66" t="s">
        <v>466</v>
      </c>
      <c r="AL261" s="66">
        <v>990</v>
      </c>
      <c r="AN261" s="62" t="s">
        <v>210</v>
      </c>
      <c r="AO261" s="62" t="e">
        <v>#N/A</v>
      </c>
      <c r="AP261" s="62" t="e">
        <v>#N/A</v>
      </c>
      <c r="AQ261" s="62" t="e">
        <v>#N/A</v>
      </c>
      <c r="AR261" s="62" t="e">
        <v>#N/A</v>
      </c>
      <c r="AS261" s="62" t="e">
        <v>#N/A</v>
      </c>
      <c r="AT261" s="62" t="e">
        <v>#N/A</v>
      </c>
      <c r="AU261" s="62" t="e">
        <v>#N/A</v>
      </c>
      <c r="AV261" s="62" t="e">
        <v>#N/A</v>
      </c>
      <c r="AW261" s="62" t="e">
        <v>#N/A</v>
      </c>
      <c r="AX261" s="62" t="e">
        <v>#N/A</v>
      </c>
    </row>
    <row r="262" spans="4:50" s="66" customFormat="1">
      <c r="D262" s="75"/>
      <c r="E262" s="76"/>
      <c r="F262" s="63"/>
      <c r="G262" s="63"/>
      <c r="H262" s="63"/>
      <c r="I262" s="63"/>
      <c r="J262" s="63"/>
      <c r="K262" s="63"/>
      <c r="L262" s="63"/>
      <c r="M262" s="63"/>
      <c r="N262" s="63"/>
      <c r="O262" s="63"/>
      <c r="P262" s="63"/>
      <c r="Q262" s="63"/>
      <c r="R262" s="63"/>
      <c r="S262" s="63"/>
      <c r="T262" s="63"/>
      <c r="U262" s="63"/>
      <c r="V262" s="63"/>
      <c r="W262" s="63"/>
      <c r="X262" s="63"/>
      <c r="Y262" s="63"/>
      <c r="Z262" s="63"/>
      <c r="AA262" s="63"/>
      <c r="AB262" s="63"/>
      <c r="AC262" s="63"/>
      <c r="AD262" s="63"/>
      <c r="AE262" s="63"/>
      <c r="AF262" s="63"/>
      <c r="AG262" s="63"/>
      <c r="AH262" s="63"/>
      <c r="AI262" s="63"/>
      <c r="AK262" s="66" t="s">
        <v>467</v>
      </c>
      <c r="AL262" s="66">
        <v>995</v>
      </c>
      <c r="AN262" s="62" t="s">
        <v>210</v>
      </c>
      <c r="AO262" s="62" t="e">
        <v>#N/A</v>
      </c>
      <c r="AP262" s="62" t="e">
        <v>#N/A</v>
      </c>
      <c r="AQ262" s="62" t="e">
        <v>#N/A</v>
      </c>
      <c r="AR262" s="62" t="e">
        <v>#N/A</v>
      </c>
      <c r="AS262" s="62" t="e">
        <v>#N/A</v>
      </c>
      <c r="AT262" s="62" t="e">
        <v>#N/A</v>
      </c>
      <c r="AU262" s="62" t="e">
        <v>#N/A</v>
      </c>
      <c r="AV262" s="62" t="e">
        <v>#N/A</v>
      </c>
      <c r="AW262" s="62" t="e">
        <v>#N/A</v>
      </c>
      <c r="AX262" s="62" t="e">
        <v>#N/A</v>
      </c>
    </row>
    <row r="263" spans="4:50" s="66" customFormat="1">
      <c r="D263" s="75"/>
      <c r="E263" s="76"/>
      <c r="F263" s="63"/>
      <c r="G263" s="63"/>
      <c r="H263" s="63"/>
      <c r="I263" s="63"/>
      <c r="J263" s="63"/>
      <c r="K263" s="63"/>
      <c r="L263" s="63"/>
      <c r="M263" s="63"/>
      <c r="N263" s="63"/>
      <c r="O263" s="63"/>
      <c r="P263" s="63"/>
      <c r="Q263" s="63"/>
      <c r="R263" s="63"/>
      <c r="S263" s="63"/>
      <c r="T263" s="63"/>
      <c r="U263" s="63"/>
      <c r="V263" s="63"/>
      <c r="W263" s="63"/>
      <c r="X263" s="63"/>
      <c r="Y263" s="63"/>
      <c r="Z263" s="63"/>
      <c r="AA263" s="63"/>
      <c r="AB263" s="63"/>
      <c r="AC263" s="63"/>
      <c r="AD263" s="63"/>
      <c r="AE263" s="63"/>
      <c r="AF263" s="63"/>
      <c r="AG263" s="63"/>
      <c r="AH263" s="63"/>
      <c r="AI263" s="63"/>
      <c r="AK263" s="66" t="s">
        <v>468</v>
      </c>
      <c r="AL263" s="66">
        <v>1000</v>
      </c>
      <c r="AN263" s="62" t="s">
        <v>210</v>
      </c>
      <c r="AO263" s="62" t="e">
        <v>#N/A</v>
      </c>
      <c r="AP263" s="62" t="e">
        <v>#N/A</v>
      </c>
      <c r="AQ263" s="62" t="e">
        <v>#N/A</v>
      </c>
      <c r="AR263" s="62" t="e">
        <v>#N/A</v>
      </c>
      <c r="AS263" s="62" t="e">
        <v>#N/A</v>
      </c>
      <c r="AT263" s="62" t="e">
        <v>#N/A</v>
      </c>
      <c r="AU263" s="62" t="e">
        <v>#N/A</v>
      </c>
      <c r="AV263" s="62" t="e">
        <v>#N/A</v>
      </c>
      <c r="AW263" s="62" t="e">
        <v>#N/A</v>
      </c>
      <c r="AX263" s="62" t="e">
        <v>#N/A</v>
      </c>
    </row>
    <row r="264" spans="4:50" s="66" customFormat="1">
      <c r="D264" s="75"/>
      <c r="E264" s="76"/>
      <c r="F264" s="63"/>
      <c r="G264" s="63"/>
      <c r="H264" s="63"/>
      <c r="I264" s="63"/>
      <c r="J264" s="63"/>
      <c r="K264" s="63"/>
      <c r="L264" s="63"/>
      <c r="M264" s="63"/>
      <c r="N264" s="63"/>
      <c r="O264" s="63"/>
      <c r="P264" s="63"/>
      <c r="Q264" s="63"/>
      <c r="R264" s="63"/>
      <c r="S264" s="63"/>
      <c r="T264" s="63"/>
      <c r="U264" s="63"/>
      <c r="V264" s="63"/>
      <c r="W264" s="63"/>
      <c r="X264" s="63"/>
      <c r="Y264" s="63"/>
      <c r="Z264" s="63"/>
      <c r="AA264" s="63"/>
      <c r="AB264" s="63"/>
      <c r="AC264" s="63"/>
      <c r="AD264" s="63"/>
      <c r="AE264" s="63"/>
      <c r="AF264" s="63"/>
      <c r="AG264" s="63"/>
      <c r="AH264" s="63"/>
      <c r="AI264" s="63"/>
      <c r="AN264" s="62" t="s">
        <v>210</v>
      </c>
      <c r="AO264" s="62" t="e">
        <v>#N/A</v>
      </c>
      <c r="AP264" s="62" t="e">
        <v>#N/A</v>
      </c>
      <c r="AQ264" s="62" t="e">
        <v>#N/A</v>
      </c>
      <c r="AR264" s="62" t="e">
        <v>#N/A</v>
      </c>
      <c r="AS264" s="62" t="e">
        <v>#N/A</v>
      </c>
      <c r="AT264" s="62" t="e">
        <v>#N/A</v>
      </c>
      <c r="AU264" s="62" t="e">
        <v>#N/A</v>
      </c>
      <c r="AV264" s="62" t="e">
        <v>#N/A</v>
      </c>
      <c r="AW264" s="62" t="e">
        <v>#N/A</v>
      </c>
      <c r="AX264" s="62" t="e">
        <v>#N/A</v>
      </c>
    </row>
    <row r="265" spans="4:50" s="66" customFormat="1">
      <c r="D265" s="75"/>
      <c r="E265" s="76"/>
      <c r="F265" s="63"/>
      <c r="G265" s="63"/>
      <c r="H265" s="63"/>
      <c r="I265" s="63"/>
      <c r="J265" s="63"/>
      <c r="K265" s="63"/>
      <c r="L265" s="63"/>
      <c r="M265" s="63"/>
      <c r="N265" s="63"/>
      <c r="O265" s="63"/>
      <c r="P265" s="63"/>
      <c r="Q265" s="63"/>
      <c r="R265" s="63"/>
      <c r="S265" s="63"/>
      <c r="T265" s="63"/>
      <c r="U265" s="63"/>
      <c r="V265" s="63"/>
      <c r="W265" s="63"/>
      <c r="X265" s="63"/>
      <c r="Y265" s="63"/>
      <c r="Z265" s="63"/>
      <c r="AA265" s="63"/>
      <c r="AB265" s="63"/>
      <c r="AC265" s="63"/>
      <c r="AD265" s="63"/>
      <c r="AE265" s="63"/>
      <c r="AF265" s="63"/>
      <c r="AG265" s="63"/>
      <c r="AH265" s="63"/>
      <c r="AI265" s="63"/>
      <c r="AN265" s="62" t="s">
        <v>210</v>
      </c>
      <c r="AO265" s="62" t="e">
        <v>#N/A</v>
      </c>
      <c r="AP265" s="62" t="e">
        <v>#N/A</v>
      </c>
      <c r="AQ265" s="62" t="e">
        <v>#N/A</v>
      </c>
      <c r="AR265" s="62" t="e">
        <v>#N/A</v>
      </c>
      <c r="AS265" s="62" t="e">
        <v>#N/A</v>
      </c>
      <c r="AT265" s="62" t="e">
        <v>#N/A</v>
      </c>
      <c r="AU265" s="62" t="e">
        <v>#N/A</v>
      </c>
      <c r="AV265" s="62" t="e">
        <v>#N/A</v>
      </c>
      <c r="AW265" s="62" t="e">
        <v>#N/A</v>
      </c>
      <c r="AX265" s="62" t="e">
        <v>#N/A</v>
      </c>
    </row>
    <row r="266" spans="4:50" s="66" customFormat="1">
      <c r="D266" s="75"/>
      <c r="E266" s="76"/>
      <c r="F266" s="63"/>
      <c r="G266" s="63"/>
      <c r="H266" s="63"/>
      <c r="I266" s="63"/>
      <c r="J266" s="63"/>
      <c r="K266" s="63"/>
      <c r="L266" s="63"/>
      <c r="M266" s="63"/>
      <c r="N266" s="63"/>
      <c r="O266" s="63"/>
      <c r="P266" s="63"/>
      <c r="Q266" s="63"/>
      <c r="R266" s="63"/>
      <c r="S266" s="63"/>
      <c r="T266" s="63"/>
      <c r="U266" s="63"/>
      <c r="V266" s="63"/>
      <c r="W266" s="63"/>
      <c r="X266" s="63"/>
      <c r="Y266" s="63"/>
      <c r="Z266" s="63"/>
      <c r="AA266" s="63"/>
      <c r="AB266" s="63"/>
      <c r="AC266" s="63"/>
      <c r="AD266" s="63"/>
      <c r="AE266" s="63"/>
      <c r="AF266" s="63"/>
      <c r="AG266" s="63"/>
      <c r="AH266" s="63"/>
      <c r="AI266" s="63"/>
    </row>
    <row r="267" spans="4:50" s="66" customFormat="1">
      <c r="D267" s="75"/>
      <c r="E267" s="76"/>
      <c r="F267" s="63"/>
      <c r="G267" s="63"/>
      <c r="H267" s="63"/>
      <c r="I267" s="63"/>
      <c r="J267" s="63"/>
      <c r="K267" s="63"/>
      <c r="L267" s="63"/>
      <c r="M267" s="63"/>
      <c r="N267" s="63"/>
      <c r="O267" s="63"/>
      <c r="P267" s="63"/>
      <c r="Q267" s="63"/>
      <c r="R267" s="63"/>
      <c r="S267" s="63"/>
      <c r="T267" s="63"/>
      <c r="U267" s="63"/>
      <c r="V267" s="63"/>
      <c r="W267" s="63"/>
      <c r="X267" s="63"/>
      <c r="Y267" s="63"/>
      <c r="Z267" s="63"/>
      <c r="AA267" s="63"/>
      <c r="AB267" s="63"/>
      <c r="AC267" s="63"/>
      <c r="AD267" s="63"/>
      <c r="AE267" s="63"/>
      <c r="AF267" s="63"/>
      <c r="AG267" s="63"/>
      <c r="AH267" s="63"/>
      <c r="AI267" s="63"/>
    </row>
    <row r="268" spans="4:50" s="66" customFormat="1">
      <c r="D268" s="75"/>
      <c r="E268" s="76"/>
      <c r="F268" s="63"/>
      <c r="G268" s="63"/>
      <c r="H268" s="63"/>
      <c r="I268" s="63"/>
      <c r="J268" s="63"/>
      <c r="K268" s="63"/>
      <c r="L268" s="63"/>
      <c r="M268" s="63"/>
      <c r="N268" s="63"/>
      <c r="O268" s="63"/>
      <c r="P268" s="63"/>
      <c r="Q268" s="63"/>
      <c r="R268" s="63"/>
      <c r="S268" s="63"/>
      <c r="T268" s="63"/>
      <c r="U268" s="63"/>
      <c r="V268" s="63"/>
      <c r="W268" s="63"/>
      <c r="X268" s="63"/>
      <c r="Y268" s="63"/>
      <c r="Z268" s="63"/>
      <c r="AA268" s="63"/>
      <c r="AB268" s="63"/>
      <c r="AC268" s="63"/>
      <c r="AD268" s="63"/>
      <c r="AE268" s="63"/>
      <c r="AF268" s="63"/>
      <c r="AG268" s="63"/>
      <c r="AH268" s="63"/>
      <c r="AI268" s="63"/>
    </row>
    <row r="269" spans="4:50" s="66" customFormat="1">
      <c r="D269" s="75"/>
      <c r="E269" s="76"/>
      <c r="F269" s="63"/>
      <c r="G269" s="63"/>
      <c r="H269" s="63"/>
      <c r="I269" s="63"/>
      <c r="J269" s="63"/>
      <c r="K269" s="63"/>
      <c r="L269" s="63"/>
      <c r="M269" s="63"/>
      <c r="N269" s="63"/>
      <c r="O269" s="63"/>
      <c r="P269" s="63"/>
      <c r="Q269" s="63"/>
      <c r="R269" s="63"/>
      <c r="S269" s="63"/>
      <c r="T269" s="63"/>
      <c r="U269" s="63"/>
      <c r="V269" s="63"/>
      <c r="W269" s="63"/>
      <c r="X269" s="63"/>
      <c r="Y269" s="63"/>
      <c r="Z269" s="63"/>
      <c r="AA269" s="63"/>
      <c r="AB269" s="63"/>
      <c r="AC269" s="63"/>
      <c r="AD269" s="63"/>
      <c r="AE269" s="63"/>
      <c r="AF269" s="63"/>
      <c r="AG269" s="63"/>
      <c r="AH269" s="63"/>
      <c r="AI269" s="63"/>
    </row>
    <row r="270" spans="4:50" s="66" customFormat="1">
      <c r="D270" s="75"/>
      <c r="E270" s="76"/>
      <c r="F270" s="63"/>
      <c r="G270" s="63"/>
      <c r="H270" s="63"/>
      <c r="I270" s="63"/>
      <c r="J270" s="63"/>
      <c r="K270" s="63"/>
      <c r="L270" s="63"/>
      <c r="M270" s="63"/>
      <c r="N270" s="63"/>
      <c r="O270" s="63"/>
      <c r="P270" s="63"/>
      <c r="Q270" s="63"/>
      <c r="R270" s="63"/>
      <c r="S270" s="63"/>
      <c r="T270" s="63"/>
      <c r="U270" s="63"/>
      <c r="V270" s="63"/>
      <c r="W270" s="63"/>
      <c r="X270" s="63"/>
      <c r="Y270" s="63"/>
      <c r="Z270" s="63"/>
      <c r="AA270" s="63"/>
      <c r="AB270" s="63"/>
      <c r="AC270" s="63"/>
      <c r="AD270" s="63"/>
      <c r="AE270" s="63"/>
      <c r="AF270" s="63"/>
      <c r="AG270" s="63"/>
      <c r="AH270" s="63"/>
      <c r="AI270" s="63"/>
    </row>
    <row r="271" spans="4:50" s="66" customFormat="1">
      <c r="D271" s="75"/>
      <c r="E271" s="76"/>
      <c r="F271" s="63"/>
      <c r="G271" s="63"/>
      <c r="H271" s="63"/>
      <c r="I271" s="63"/>
      <c r="J271" s="63"/>
      <c r="K271" s="63"/>
      <c r="L271" s="63"/>
      <c r="M271" s="63"/>
      <c r="N271" s="63"/>
      <c r="O271" s="63"/>
      <c r="P271" s="63"/>
      <c r="Q271" s="63"/>
      <c r="R271" s="63"/>
      <c r="S271" s="63"/>
      <c r="T271" s="63"/>
      <c r="U271" s="63"/>
      <c r="V271" s="63"/>
      <c r="W271" s="63"/>
      <c r="X271" s="63"/>
      <c r="Y271" s="63"/>
      <c r="Z271" s="63"/>
      <c r="AA271" s="63"/>
      <c r="AB271" s="63"/>
      <c r="AC271" s="63"/>
      <c r="AD271" s="63"/>
      <c r="AE271" s="63"/>
      <c r="AF271" s="63"/>
      <c r="AG271" s="63"/>
      <c r="AH271" s="63"/>
      <c r="AI271" s="63"/>
    </row>
    <row r="272" spans="4:50" s="66" customFormat="1">
      <c r="D272" s="75"/>
      <c r="E272" s="76"/>
      <c r="F272" s="63"/>
      <c r="G272" s="63"/>
      <c r="H272" s="63"/>
      <c r="I272" s="63"/>
      <c r="J272" s="63"/>
      <c r="K272" s="63"/>
      <c r="L272" s="63"/>
      <c r="M272" s="63"/>
      <c r="N272" s="63"/>
      <c r="O272" s="63"/>
      <c r="P272" s="63"/>
      <c r="Q272" s="63"/>
      <c r="R272" s="63"/>
      <c r="S272" s="63"/>
      <c r="T272" s="63"/>
      <c r="U272" s="63"/>
      <c r="V272" s="63"/>
      <c r="W272" s="63"/>
      <c r="X272" s="63"/>
      <c r="Y272" s="63"/>
      <c r="Z272" s="63"/>
      <c r="AA272" s="63"/>
      <c r="AB272" s="63"/>
      <c r="AC272" s="63"/>
      <c r="AD272" s="63"/>
      <c r="AE272" s="63"/>
      <c r="AF272" s="63"/>
      <c r="AG272" s="63"/>
      <c r="AH272" s="63"/>
      <c r="AI272" s="63"/>
    </row>
    <row r="273" spans="4:35" s="66" customFormat="1">
      <c r="D273" s="75"/>
      <c r="E273" s="76"/>
      <c r="F273" s="63"/>
      <c r="G273" s="63"/>
      <c r="H273" s="63"/>
      <c r="I273" s="63"/>
      <c r="J273" s="63"/>
      <c r="K273" s="63"/>
      <c r="L273" s="63"/>
      <c r="M273" s="63"/>
      <c r="N273" s="63"/>
      <c r="O273" s="63"/>
      <c r="P273" s="63"/>
      <c r="Q273" s="63"/>
      <c r="R273" s="63"/>
      <c r="S273" s="63"/>
      <c r="T273" s="63"/>
      <c r="U273" s="63"/>
      <c r="V273" s="63"/>
      <c r="W273" s="63"/>
      <c r="X273" s="63"/>
      <c r="Y273" s="63"/>
      <c r="Z273" s="63"/>
      <c r="AA273" s="63"/>
      <c r="AB273" s="63"/>
      <c r="AC273" s="63"/>
      <c r="AD273" s="63"/>
      <c r="AE273" s="63"/>
      <c r="AF273" s="63"/>
      <c r="AG273" s="63"/>
      <c r="AH273" s="63"/>
      <c r="AI273" s="63"/>
    </row>
    <row r="274" spans="4:35" s="66" customFormat="1">
      <c r="D274" s="75"/>
      <c r="E274" s="76"/>
      <c r="F274" s="63"/>
      <c r="G274" s="63"/>
      <c r="H274" s="63"/>
      <c r="I274" s="63"/>
      <c r="J274" s="63"/>
      <c r="K274" s="63"/>
      <c r="L274" s="63"/>
      <c r="M274" s="63"/>
      <c r="N274" s="63"/>
      <c r="O274" s="63"/>
      <c r="P274" s="63"/>
      <c r="Q274" s="63"/>
      <c r="R274" s="63"/>
      <c r="S274" s="63"/>
      <c r="T274" s="63"/>
      <c r="U274" s="63"/>
      <c r="V274" s="63"/>
      <c r="W274" s="63"/>
      <c r="X274" s="63"/>
      <c r="Y274" s="63"/>
      <c r="Z274" s="63"/>
      <c r="AA274" s="63"/>
      <c r="AB274" s="63"/>
      <c r="AC274" s="63"/>
      <c r="AD274" s="63"/>
      <c r="AE274" s="63"/>
      <c r="AF274" s="63"/>
      <c r="AG274" s="63"/>
      <c r="AH274" s="63"/>
      <c r="AI274" s="63"/>
    </row>
    <row r="275" spans="4:35" s="66" customFormat="1">
      <c r="D275" s="75"/>
      <c r="E275" s="76"/>
      <c r="F275" s="63"/>
      <c r="G275" s="63"/>
      <c r="H275" s="63"/>
      <c r="I275" s="63"/>
      <c r="J275" s="63"/>
      <c r="K275" s="63"/>
      <c r="L275" s="63"/>
      <c r="M275" s="63"/>
      <c r="N275" s="63"/>
      <c r="O275" s="63"/>
      <c r="P275" s="63"/>
      <c r="Q275" s="63"/>
      <c r="R275" s="63"/>
      <c r="S275" s="63"/>
      <c r="T275" s="63"/>
      <c r="U275" s="63"/>
      <c r="V275" s="63"/>
      <c r="W275" s="63"/>
      <c r="X275" s="63"/>
      <c r="Y275" s="63"/>
      <c r="Z275" s="63"/>
      <c r="AA275" s="63"/>
      <c r="AB275" s="63"/>
      <c r="AC275" s="63"/>
      <c r="AD275" s="63"/>
      <c r="AE275" s="63"/>
      <c r="AF275" s="63"/>
      <c r="AG275" s="63"/>
      <c r="AH275" s="63"/>
      <c r="AI275" s="63"/>
    </row>
    <row r="276" spans="4:35" s="66" customFormat="1">
      <c r="D276" s="75"/>
      <c r="E276" s="76"/>
      <c r="F276" s="63"/>
      <c r="G276" s="63"/>
      <c r="H276" s="63"/>
      <c r="I276" s="63"/>
      <c r="J276" s="63"/>
      <c r="K276" s="63"/>
      <c r="L276" s="63"/>
      <c r="M276" s="63"/>
      <c r="N276" s="63"/>
      <c r="O276" s="63"/>
      <c r="P276" s="63"/>
      <c r="Q276" s="63"/>
      <c r="R276" s="63"/>
      <c r="S276" s="63"/>
      <c r="T276" s="63"/>
      <c r="U276" s="63"/>
      <c r="V276" s="63"/>
      <c r="W276" s="63"/>
      <c r="X276" s="63"/>
      <c r="Y276" s="63"/>
      <c r="Z276" s="63"/>
      <c r="AA276" s="63"/>
      <c r="AB276" s="63"/>
      <c r="AC276" s="63"/>
      <c r="AD276" s="63"/>
      <c r="AE276" s="63"/>
      <c r="AF276" s="63"/>
      <c r="AG276" s="63"/>
      <c r="AH276" s="63"/>
      <c r="AI276" s="63"/>
    </row>
    <row r="277" spans="4:35" s="66" customFormat="1">
      <c r="D277" s="75"/>
      <c r="E277" s="76"/>
      <c r="F277" s="63"/>
      <c r="G277" s="63"/>
      <c r="H277" s="63"/>
      <c r="I277" s="63"/>
      <c r="J277" s="63"/>
      <c r="K277" s="63"/>
      <c r="L277" s="63"/>
      <c r="M277" s="63"/>
      <c r="N277" s="63"/>
      <c r="O277" s="63"/>
      <c r="P277" s="63"/>
      <c r="Q277" s="63"/>
      <c r="R277" s="63"/>
      <c r="S277" s="63"/>
      <c r="T277" s="63"/>
      <c r="U277" s="63"/>
      <c r="V277" s="63"/>
      <c r="W277" s="63"/>
      <c r="X277" s="63"/>
      <c r="Y277" s="63"/>
      <c r="Z277" s="63"/>
      <c r="AA277" s="63"/>
      <c r="AB277" s="63"/>
      <c r="AC277" s="63"/>
      <c r="AD277" s="63"/>
      <c r="AE277" s="63"/>
      <c r="AF277" s="63"/>
      <c r="AG277" s="63"/>
      <c r="AH277" s="63"/>
      <c r="AI277" s="63"/>
    </row>
    <row r="278" spans="4:35" s="66" customFormat="1">
      <c r="D278" s="75"/>
      <c r="E278" s="76"/>
      <c r="F278" s="63"/>
      <c r="G278" s="63"/>
      <c r="H278" s="63"/>
      <c r="I278" s="63"/>
      <c r="J278" s="63"/>
      <c r="K278" s="63"/>
      <c r="L278" s="63"/>
      <c r="M278" s="63"/>
      <c r="N278" s="63"/>
      <c r="O278" s="63"/>
      <c r="P278" s="63"/>
      <c r="Q278" s="63"/>
      <c r="R278" s="63"/>
      <c r="S278" s="63"/>
      <c r="T278" s="63"/>
      <c r="U278" s="63"/>
      <c r="V278" s="63"/>
      <c r="W278" s="63"/>
      <c r="X278" s="63"/>
      <c r="Y278" s="63"/>
      <c r="Z278" s="63"/>
      <c r="AA278" s="63"/>
      <c r="AB278" s="63"/>
      <c r="AC278" s="63"/>
      <c r="AD278" s="63"/>
      <c r="AE278" s="63"/>
      <c r="AF278" s="63"/>
      <c r="AG278" s="63"/>
      <c r="AH278" s="63"/>
      <c r="AI278" s="63"/>
    </row>
    <row r="279" spans="4:35" s="66" customFormat="1">
      <c r="D279" s="75"/>
      <c r="E279" s="76"/>
      <c r="F279" s="63"/>
      <c r="G279" s="63"/>
      <c r="H279" s="63"/>
      <c r="I279" s="63"/>
      <c r="J279" s="63"/>
      <c r="K279" s="63"/>
      <c r="L279" s="63"/>
      <c r="M279" s="63"/>
      <c r="N279" s="63"/>
      <c r="O279" s="63"/>
      <c r="P279" s="63"/>
      <c r="Q279" s="63"/>
      <c r="R279" s="63"/>
      <c r="S279" s="63"/>
      <c r="T279" s="63"/>
      <c r="U279" s="63"/>
      <c r="V279" s="63"/>
      <c r="W279" s="63"/>
      <c r="X279" s="63"/>
      <c r="Y279" s="63"/>
      <c r="Z279" s="63"/>
      <c r="AA279" s="63"/>
      <c r="AB279" s="63"/>
      <c r="AC279" s="63"/>
      <c r="AD279" s="63"/>
      <c r="AE279" s="63"/>
      <c r="AF279" s="63"/>
      <c r="AG279" s="63"/>
      <c r="AH279" s="63"/>
      <c r="AI279" s="63"/>
    </row>
    <row r="280" spans="4:35" s="66" customFormat="1">
      <c r="D280" s="75"/>
      <c r="E280" s="76"/>
      <c r="F280" s="63"/>
      <c r="G280" s="63"/>
      <c r="H280" s="63"/>
      <c r="I280" s="63"/>
      <c r="J280" s="63"/>
      <c r="K280" s="63"/>
      <c r="L280" s="63"/>
      <c r="M280" s="63"/>
      <c r="N280" s="63"/>
      <c r="O280" s="63"/>
      <c r="P280" s="63"/>
      <c r="Q280" s="63"/>
      <c r="R280" s="63"/>
      <c r="S280" s="63"/>
      <c r="T280" s="63"/>
      <c r="U280" s="63"/>
      <c r="V280" s="63"/>
      <c r="W280" s="63"/>
      <c r="X280" s="63"/>
      <c r="Y280" s="63"/>
      <c r="Z280" s="63"/>
      <c r="AA280" s="63"/>
      <c r="AB280" s="63"/>
      <c r="AC280" s="63"/>
      <c r="AD280" s="63"/>
      <c r="AE280" s="63"/>
      <c r="AF280" s="63"/>
      <c r="AG280" s="63"/>
      <c r="AH280" s="63"/>
      <c r="AI280" s="63"/>
    </row>
    <row r="281" spans="4:35" s="66" customFormat="1">
      <c r="D281" s="75"/>
      <c r="E281" s="76"/>
      <c r="F281" s="63"/>
      <c r="G281" s="63"/>
      <c r="H281" s="63"/>
      <c r="I281" s="63"/>
      <c r="J281" s="63"/>
      <c r="K281" s="63"/>
      <c r="L281" s="63"/>
      <c r="M281" s="63"/>
      <c r="N281" s="63"/>
      <c r="O281" s="63"/>
      <c r="P281" s="63"/>
      <c r="Q281" s="63"/>
      <c r="R281" s="63"/>
      <c r="S281" s="63"/>
      <c r="T281" s="63"/>
      <c r="U281" s="63"/>
      <c r="V281" s="63"/>
      <c r="W281" s="63"/>
      <c r="X281" s="63"/>
      <c r="Y281" s="63"/>
      <c r="Z281" s="63"/>
      <c r="AA281" s="63"/>
      <c r="AB281" s="63"/>
      <c r="AC281" s="63"/>
      <c r="AD281" s="63"/>
      <c r="AE281" s="63"/>
      <c r="AF281" s="63"/>
      <c r="AG281" s="63"/>
      <c r="AH281" s="63"/>
      <c r="AI281" s="63"/>
    </row>
    <row r="282" spans="4:35" s="66" customFormat="1">
      <c r="D282" s="75"/>
      <c r="E282" s="76"/>
      <c r="F282" s="63"/>
      <c r="G282" s="63"/>
      <c r="H282" s="63"/>
      <c r="I282" s="63"/>
      <c r="J282" s="63"/>
      <c r="K282" s="63"/>
      <c r="L282" s="63"/>
      <c r="M282" s="63"/>
      <c r="N282" s="63"/>
      <c r="O282" s="63"/>
      <c r="P282" s="63"/>
      <c r="Q282" s="63"/>
      <c r="R282" s="63"/>
      <c r="S282" s="63"/>
      <c r="T282" s="63"/>
      <c r="U282" s="63"/>
      <c r="V282" s="63"/>
      <c r="W282" s="63"/>
      <c r="X282" s="63"/>
      <c r="Y282" s="63"/>
      <c r="Z282" s="63"/>
      <c r="AA282" s="63"/>
      <c r="AB282" s="63"/>
      <c r="AC282" s="63"/>
      <c r="AD282" s="63"/>
      <c r="AE282" s="63"/>
      <c r="AF282" s="63"/>
      <c r="AG282" s="63"/>
      <c r="AH282" s="63"/>
      <c r="AI282" s="63"/>
    </row>
    <row r="283" spans="4:35" s="66" customFormat="1">
      <c r="D283" s="75"/>
      <c r="E283" s="76"/>
      <c r="F283" s="63"/>
      <c r="G283" s="63"/>
      <c r="H283" s="63"/>
      <c r="I283" s="63"/>
      <c r="J283" s="63"/>
      <c r="K283" s="63"/>
      <c r="L283" s="63"/>
      <c r="M283" s="63"/>
      <c r="N283" s="63"/>
      <c r="O283" s="63"/>
      <c r="P283" s="63"/>
      <c r="Q283" s="63"/>
      <c r="R283" s="63"/>
      <c r="S283" s="63"/>
      <c r="T283" s="63"/>
      <c r="U283" s="63"/>
      <c r="V283" s="63"/>
      <c r="W283" s="63"/>
      <c r="X283" s="63"/>
      <c r="Y283" s="63"/>
      <c r="Z283" s="63"/>
      <c r="AA283" s="63"/>
      <c r="AB283" s="63"/>
      <c r="AC283" s="63"/>
      <c r="AD283" s="63"/>
      <c r="AE283" s="63"/>
      <c r="AF283" s="63"/>
      <c r="AG283" s="63"/>
      <c r="AH283" s="63"/>
      <c r="AI283" s="63"/>
    </row>
    <row r="284" spans="4:35" s="66" customFormat="1">
      <c r="D284" s="75"/>
      <c r="E284" s="76"/>
      <c r="F284" s="63"/>
      <c r="G284" s="63"/>
      <c r="H284" s="63"/>
      <c r="I284" s="63"/>
      <c r="J284" s="63"/>
      <c r="K284" s="63"/>
      <c r="L284" s="63"/>
      <c r="M284" s="63"/>
      <c r="N284" s="63"/>
      <c r="O284" s="63"/>
      <c r="P284" s="63"/>
      <c r="Q284" s="63"/>
      <c r="R284" s="63"/>
      <c r="S284" s="63"/>
      <c r="T284" s="63"/>
      <c r="U284" s="63"/>
      <c r="V284" s="63"/>
      <c r="W284" s="63"/>
      <c r="X284" s="63"/>
      <c r="Y284" s="63"/>
      <c r="Z284" s="63"/>
      <c r="AA284" s="63"/>
      <c r="AB284" s="63"/>
      <c r="AC284" s="63"/>
      <c r="AD284" s="63"/>
      <c r="AE284" s="63"/>
      <c r="AF284" s="63"/>
      <c r="AG284" s="63"/>
      <c r="AH284" s="63"/>
      <c r="AI284" s="63"/>
    </row>
    <row r="285" spans="4:35" s="66" customFormat="1">
      <c r="D285" s="75"/>
      <c r="E285" s="76"/>
      <c r="F285" s="63"/>
      <c r="G285" s="63"/>
      <c r="H285" s="63"/>
      <c r="I285" s="63"/>
      <c r="J285" s="63"/>
      <c r="K285" s="63"/>
      <c r="L285" s="63"/>
      <c r="M285" s="63"/>
      <c r="N285" s="63"/>
      <c r="O285" s="63"/>
      <c r="P285" s="63"/>
      <c r="Q285" s="63"/>
      <c r="R285" s="63"/>
      <c r="S285" s="63"/>
      <c r="T285" s="63"/>
      <c r="U285" s="63"/>
      <c r="V285" s="63"/>
      <c r="W285" s="63"/>
      <c r="X285" s="63"/>
      <c r="Y285" s="63"/>
      <c r="Z285" s="63"/>
      <c r="AA285" s="63"/>
      <c r="AB285" s="63"/>
      <c r="AC285" s="63"/>
      <c r="AD285" s="63"/>
      <c r="AE285" s="63"/>
      <c r="AF285" s="63"/>
      <c r="AG285" s="63"/>
      <c r="AH285" s="63"/>
      <c r="AI285" s="63"/>
    </row>
    <row r="286" spans="4:35" s="66" customFormat="1">
      <c r="D286" s="75"/>
      <c r="E286" s="76"/>
      <c r="F286" s="63"/>
      <c r="G286" s="63"/>
      <c r="H286" s="63"/>
      <c r="I286" s="63"/>
      <c r="J286" s="63"/>
      <c r="K286" s="63"/>
      <c r="L286" s="63"/>
      <c r="M286" s="63"/>
      <c r="N286" s="63"/>
      <c r="O286" s="63"/>
      <c r="P286" s="63"/>
      <c r="Q286" s="63"/>
      <c r="R286" s="63"/>
      <c r="S286" s="63"/>
      <c r="T286" s="63"/>
      <c r="U286" s="63"/>
      <c r="V286" s="63"/>
      <c r="W286" s="63"/>
      <c r="X286" s="63"/>
      <c r="Y286" s="63"/>
      <c r="Z286" s="63"/>
      <c r="AA286" s="63"/>
      <c r="AB286" s="63"/>
      <c r="AC286" s="63"/>
      <c r="AD286" s="63"/>
      <c r="AE286" s="63"/>
      <c r="AF286" s="63"/>
      <c r="AG286" s="63"/>
      <c r="AH286" s="63"/>
      <c r="AI286" s="63"/>
    </row>
    <row r="287" spans="4:35" s="66" customFormat="1">
      <c r="D287" s="75"/>
      <c r="E287" s="76"/>
      <c r="F287" s="63"/>
      <c r="G287" s="63"/>
      <c r="H287" s="63"/>
      <c r="I287" s="63"/>
      <c r="J287" s="63"/>
      <c r="K287" s="63"/>
      <c r="L287" s="63"/>
      <c r="M287" s="63"/>
      <c r="N287" s="63"/>
      <c r="O287" s="63"/>
      <c r="P287" s="63"/>
      <c r="Q287" s="63"/>
      <c r="R287" s="63"/>
      <c r="S287" s="63"/>
      <c r="T287" s="63"/>
      <c r="U287" s="63"/>
      <c r="V287" s="63"/>
      <c r="W287" s="63"/>
      <c r="X287" s="63"/>
      <c r="Y287" s="63"/>
      <c r="Z287" s="63"/>
      <c r="AA287" s="63"/>
      <c r="AB287" s="63"/>
      <c r="AC287" s="63"/>
      <c r="AD287" s="63"/>
      <c r="AE287" s="63"/>
      <c r="AF287" s="63"/>
      <c r="AG287" s="63"/>
      <c r="AH287" s="63"/>
      <c r="AI287" s="63"/>
    </row>
    <row r="288" spans="4:35" s="66" customFormat="1">
      <c r="D288" s="75"/>
      <c r="E288" s="76"/>
      <c r="F288" s="63"/>
      <c r="G288" s="63"/>
      <c r="H288" s="63"/>
      <c r="I288" s="63"/>
      <c r="J288" s="63"/>
      <c r="K288" s="63"/>
      <c r="L288" s="63"/>
      <c r="M288" s="63"/>
      <c r="N288" s="63"/>
      <c r="O288" s="63"/>
      <c r="P288" s="63"/>
      <c r="Q288" s="63"/>
      <c r="R288" s="63"/>
      <c r="S288" s="63"/>
      <c r="T288" s="63"/>
      <c r="U288" s="63"/>
      <c r="V288" s="63"/>
      <c r="W288" s="63"/>
      <c r="X288" s="63"/>
      <c r="Y288" s="63"/>
      <c r="Z288" s="63"/>
      <c r="AA288" s="63"/>
      <c r="AB288" s="63"/>
      <c r="AC288" s="63"/>
      <c r="AD288" s="63"/>
      <c r="AE288" s="63"/>
      <c r="AF288" s="63"/>
      <c r="AG288" s="63"/>
      <c r="AH288" s="63"/>
      <c r="AI288" s="63"/>
    </row>
    <row r="289" spans="4:35" s="66" customFormat="1">
      <c r="D289" s="75"/>
      <c r="E289" s="76"/>
      <c r="F289" s="63"/>
      <c r="G289" s="63"/>
      <c r="H289" s="63"/>
      <c r="I289" s="63"/>
      <c r="J289" s="63"/>
      <c r="K289" s="63"/>
      <c r="L289" s="63"/>
      <c r="M289" s="63"/>
      <c r="N289" s="63"/>
      <c r="O289" s="63"/>
      <c r="P289" s="63"/>
      <c r="Q289" s="63"/>
      <c r="R289" s="63"/>
      <c r="S289" s="63"/>
      <c r="T289" s="63"/>
      <c r="U289" s="63"/>
      <c r="V289" s="63"/>
      <c r="W289" s="63"/>
      <c r="X289" s="63"/>
      <c r="Y289" s="63"/>
      <c r="Z289" s="63"/>
      <c r="AA289" s="63"/>
      <c r="AB289" s="63"/>
      <c r="AC289" s="63"/>
      <c r="AD289" s="63"/>
      <c r="AE289" s="63"/>
      <c r="AF289" s="63"/>
      <c r="AG289" s="63"/>
      <c r="AH289" s="63"/>
      <c r="AI289" s="63"/>
    </row>
    <row r="290" spans="4:35" s="66" customFormat="1">
      <c r="D290" s="75"/>
      <c r="E290" s="76"/>
      <c r="F290" s="63"/>
      <c r="G290" s="63"/>
      <c r="H290" s="63"/>
      <c r="I290" s="63"/>
      <c r="J290" s="63"/>
      <c r="K290" s="63"/>
      <c r="L290" s="63"/>
      <c r="M290" s="63"/>
      <c r="N290" s="63"/>
      <c r="O290" s="63"/>
      <c r="P290" s="63"/>
      <c r="Q290" s="63"/>
      <c r="R290" s="63"/>
      <c r="S290" s="63"/>
      <c r="T290" s="63"/>
      <c r="U290" s="63"/>
      <c r="V290" s="63"/>
      <c r="W290" s="63"/>
      <c r="X290" s="63"/>
      <c r="Y290" s="63"/>
      <c r="Z290" s="63"/>
      <c r="AA290" s="63"/>
      <c r="AB290" s="63"/>
      <c r="AC290" s="63"/>
      <c r="AD290" s="63"/>
      <c r="AE290" s="63"/>
      <c r="AF290" s="63"/>
      <c r="AG290" s="63"/>
      <c r="AH290" s="63"/>
      <c r="AI290" s="63"/>
    </row>
    <row r="291" spans="4:35" s="66" customFormat="1">
      <c r="D291" s="75"/>
      <c r="E291" s="76"/>
      <c r="F291" s="63"/>
      <c r="G291" s="63"/>
      <c r="H291" s="63"/>
      <c r="I291" s="63"/>
      <c r="J291" s="63"/>
      <c r="K291" s="63"/>
      <c r="L291" s="63"/>
      <c r="M291" s="63"/>
      <c r="N291" s="63"/>
      <c r="O291" s="63"/>
      <c r="P291" s="63"/>
      <c r="Q291" s="63"/>
      <c r="R291" s="63"/>
      <c r="S291" s="63"/>
      <c r="T291" s="63"/>
      <c r="U291" s="63"/>
      <c r="V291" s="63"/>
      <c r="W291" s="63"/>
      <c r="X291" s="63"/>
      <c r="Y291" s="63"/>
      <c r="Z291" s="63"/>
      <c r="AA291" s="63"/>
      <c r="AB291" s="63"/>
      <c r="AC291" s="63"/>
      <c r="AD291" s="63"/>
      <c r="AE291" s="63"/>
      <c r="AF291" s="63"/>
      <c r="AG291" s="63"/>
      <c r="AH291" s="63"/>
      <c r="AI291" s="63"/>
    </row>
    <row r="292" spans="4:35" s="66" customFormat="1">
      <c r="D292" s="75"/>
      <c r="E292" s="76"/>
      <c r="F292" s="63"/>
      <c r="G292" s="63"/>
      <c r="H292" s="63"/>
      <c r="I292" s="63"/>
      <c r="J292" s="63"/>
      <c r="K292" s="63"/>
      <c r="L292" s="63"/>
      <c r="M292" s="63"/>
      <c r="N292" s="63"/>
      <c r="O292" s="63"/>
      <c r="P292" s="63"/>
      <c r="Q292" s="63"/>
      <c r="R292" s="63"/>
      <c r="S292" s="63"/>
      <c r="T292" s="63"/>
      <c r="U292" s="63"/>
      <c r="V292" s="63"/>
      <c r="W292" s="63"/>
      <c r="X292" s="63"/>
      <c r="Y292" s="63"/>
      <c r="Z292" s="63"/>
      <c r="AA292" s="63"/>
      <c r="AB292" s="63"/>
      <c r="AC292" s="63"/>
      <c r="AD292" s="63"/>
      <c r="AE292" s="63"/>
      <c r="AF292" s="63"/>
      <c r="AG292" s="63"/>
      <c r="AH292" s="63"/>
      <c r="AI292" s="63"/>
    </row>
    <row r="293" spans="4:35" s="66" customFormat="1">
      <c r="D293" s="75"/>
      <c r="E293" s="76"/>
      <c r="F293" s="63"/>
      <c r="G293" s="63"/>
      <c r="H293" s="63"/>
      <c r="I293" s="63"/>
      <c r="J293" s="63"/>
      <c r="K293" s="63"/>
      <c r="L293" s="63"/>
      <c r="M293" s="63"/>
      <c r="N293" s="63"/>
      <c r="O293" s="63"/>
      <c r="P293" s="63"/>
      <c r="Q293" s="63"/>
      <c r="R293" s="63"/>
      <c r="S293" s="63"/>
      <c r="T293" s="63"/>
      <c r="U293" s="63"/>
      <c r="V293" s="63"/>
      <c r="W293" s="63"/>
      <c r="X293" s="63"/>
      <c r="Y293" s="63"/>
      <c r="Z293" s="63"/>
      <c r="AA293" s="63"/>
      <c r="AB293" s="63"/>
      <c r="AC293" s="63"/>
      <c r="AD293" s="63"/>
      <c r="AE293" s="63"/>
      <c r="AF293" s="63"/>
      <c r="AG293" s="63"/>
      <c r="AH293" s="63"/>
      <c r="AI293" s="63"/>
    </row>
    <row r="294" spans="4:35" s="66" customFormat="1">
      <c r="D294" s="75"/>
      <c r="E294" s="76"/>
      <c r="F294" s="63"/>
      <c r="G294" s="63"/>
      <c r="H294" s="63"/>
      <c r="I294" s="63"/>
      <c r="J294" s="63"/>
      <c r="K294" s="63"/>
      <c r="L294" s="63"/>
      <c r="M294" s="63"/>
      <c r="N294" s="63"/>
      <c r="O294" s="63"/>
      <c r="P294" s="63"/>
      <c r="Q294" s="63"/>
      <c r="R294" s="63"/>
      <c r="S294" s="63"/>
      <c r="T294" s="63"/>
      <c r="U294" s="63"/>
      <c r="V294" s="63"/>
      <c r="W294" s="63"/>
      <c r="X294" s="63"/>
      <c r="Y294" s="63"/>
      <c r="Z294" s="63"/>
      <c r="AA294" s="63"/>
      <c r="AB294" s="63"/>
      <c r="AC294" s="63"/>
      <c r="AD294" s="63"/>
      <c r="AE294" s="63"/>
      <c r="AF294" s="63"/>
      <c r="AG294" s="63"/>
      <c r="AH294" s="63"/>
      <c r="AI294" s="63"/>
    </row>
    <row r="295" spans="4:35" s="66" customFormat="1">
      <c r="D295" s="75"/>
      <c r="E295" s="76"/>
      <c r="F295" s="63"/>
      <c r="G295" s="63"/>
      <c r="H295" s="63"/>
      <c r="I295" s="63"/>
      <c r="J295" s="63"/>
      <c r="K295" s="63"/>
      <c r="L295" s="63"/>
      <c r="M295" s="63"/>
      <c r="N295" s="63"/>
      <c r="O295" s="63"/>
      <c r="P295" s="63"/>
      <c r="Q295" s="63"/>
      <c r="R295" s="63"/>
      <c r="S295" s="63"/>
      <c r="T295" s="63"/>
      <c r="U295" s="63"/>
      <c r="V295" s="63"/>
      <c r="W295" s="63"/>
      <c r="X295" s="63"/>
      <c r="Y295" s="63"/>
      <c r="Z295" s="63"/>
      <c r="AA295" s="63"/>
      <c r="AB295" s="63"/>
      <c r="AC295" s="63"/>
      <c r="AD295" s="63"/>
      <c r="AE295" s="63"/>
      <c r="AF295" s="63"/>
      <c r="AG295" s="63"/>
      <c r="AH295" s="63"/>
      <c r="AI295" s="63"/>
    </row>
    <row r="296" spans="4:35" s="66" customFormat="1">
      <c r="D296" s="75"/>
      <c r="E296" s="76"/>
      <c r="F296" s="63"/>
      <c r="G296" s="63"/>
      <c r="H296" s="63"/>
      <c r="I296" s="63"/>
      <c r="J296" s="63"/>
      <c r="K296" s="63"/>
      <c r="L296" s="63"/>
      <c r="M296" s="63"/>
      <c r="N296" s="63"/>
      <c r="O296" s="63"/>
      <c r="P296" s="63"/>
      <c r="Q296" s="63"/>
      <c r="R296" s="63"/>
      <c r="S296" s="63"/>
      <c r="T296" s="63"/>
      <c r="U296" s="63"/>
      <c r="V296" s="63"/>
      <c r="W296" s="63"/>
      <c r="X296" s="63"/>
      <c r="Y296" s="63"/>
      <c r="Z296" s="63"/>
      <c r="AA296" s="63"/>
      <c r="AB296" s="63"/>
      <c r="AC296" s="63"/>
      <c r="AD296" s="63"/>
      <c r="AE296" s="63"/>
      <c r="AF296" s="63"/>
      <c r="AG296" s="63"/>
      <c r="AH296" s="63"/>
      <c r="AI296" s="63"/>
    </row>
    <row r="297" spans="4:35" s="66" customFormat="1">
      <c r="D297" s="75"/>
      <c r="E297" s="76"/>
      <c r="F297" s="63"/>
      <c r="G297" s="63"/>
      <c r="H297" s="63"/>
      <c r="I297" s="63"/>
      <c r="J297" s="63"/>
      <c r="K297" s="63"/>
      <c r="L297" s="63"/>
      <c r="M297" s="63"/>
      <c r="N297" s="63"/>
      <c r="O297" s="63"/>
      <c r="P297" s="63"/>
      <c r="Q297" s="63"/>
      <c r="R297" s="63"/>
      <c r="S297" s="63"/>
      <c r="T297" s="63"/>
      <c r="U297" s="63"/>
      <c r="V297" s="63"/>
      <c r="W297" s="63"/>
      <c r="X297" s="63"/>
      <c r="Y297" s="63"/>
      <c r="Z297" s="63"/>
      <c r="AA297" s="63"/>
      <c r="AB297" s="63"/>
      <c r="AC297" s="63"/>
      <c r="AD297" s="63"/>
      <c r="AE297" s="63"/>
      <c r="AF297" s="63"/>
      <c r="AG297" s="63"/>
      <c r="AH297" s="63"/>
      <c r="AI297" s="63"/>
    </row>
    <row r="298" spans="4:35" s="66" customFormat="1">
      <c r="D298" s="75"/>
      <c r="E298" s="76"/>
      <c r="F298" s="63"/>
      <c r="G298" s="63"/>
      <c r="H298" s="63"/>
      <c r="I298" s="63"/>
      <c r="J298" s="63"/>
      <c r="K298" s="63"/>
      <c r="L298" s="63"/>
      <c r="M298" s="63"/>
      <c r="N298" s="63"/>
      <c r="O298" s="63"/>
      <c r="P298" s="63"/>
      <c r="Q298" s="63"/>
      <c r="R298" s="63"/>
      <c r="S298" s="63"/>
      <c r="T298" s="63"/>
      <c r="U298" s="63"/>
      <c r="V298" s="63"/>
      <c r="W298" s="63"/>
      <c r="X298" s="63"/>
      <c r="Y298" s="63"/>
      <c r="Z298" s="63"/>
      <c r="AA298" s="63"/>
      <c r="AB298" s="63"/>
      <c r="AC298" s="63"/>
      <c r="AD298" s="63"/>
      <c r="AE298" s="63"/>
      <c r="AF298" s="63"/>
      <c r="AG298" s="63"/>
      <c r="AH298" s="63"/>
      <c r="AI298" s="63"/>
    </row>
    <row r="299" spans="4:35" s="66" customFormat="1">
      <c r="D299" s="75"/>
      <c r="E299" s="76"/>
      <c r="F299" s="63"/>
      <c r="G299" s="63"/>
      <c r="H299" s="63"/>
      <c r="I299" s="63"/>
      <c r="J299" s="63"/>
      <c r="K299" s="63"/>
      <c r="L299" s="63"/>
      <c r="M299" s="63"/>
      <c r="N299" s="63"/>
      <c r="O299" s="63"/>
      <c r="P299" s="63"/>
      <c r="Q299" s="63"/>
      <c r="R299" s="63"/>
      <c r="S299" s="63"/>
      <c r="T299" s="63"/>
      <c r="U299" s="63"/>
      <c r="V299" s="63"/>
      <c r="W299" s="63"/>
      <c r="X299" s="63"/>
      <c r="Y299" s="63"/>
      <c r="Z299" s="63"/>
      <c r="AA299" s="63"/>
      <c r="AB299" s="63"/>
      <c r="AC299" s="63"/>
      <c r="AD299" s="63"/>
      <c r="AE299" s="63"/>
      <c r="AF299" s="63"/>
      <c r="AG299" s="63"/>
      <c r="AH299" s="63"/>
      <c r="AI299" s="63"/>
    </row>
    <row r="300" spans="4:35" s="66" customFormat="1">
      <c r="D300" s="75"/>
      <c r="E300" s="76"/>
      <c r="F300" s="63"/>
      <c r="G300" s="63"/>
      <c r="H300" s="63"/>
      <c r="I300" s="63"/>
      <c r="J300" s="63"/>
      <c r="K300" s="63"/>
      <c r="L300" s="63"/>
      <c r="M300" s="63"/>
      <c r="N300" s="63"/>
      <c r="O300" s="63"/>
      <c r="P300" s="63"/>
      <c r="Q300" s="63"/>
      <c r="R300" s="63"/>
      <c r="S300" s="63"/>
      <c r="T300" s="63"/>
      <c r="U300" s="63"/>
      <c r="V300" s="63"/>
      <c r="W300" s="63"/>
      <c r="X300" s="63"/>
      <c r="Y300" s="63"/>
      <c r="Z300" s="63"/>
      <c r="AA300" s="63"/>
      <c r="AB300" s="63"/>
      <c r="AC300" s="63"/>
      <c r="AD300" s="63"/>
      <c r="AE300" s="63"/>
      <c r="AF300" s="63"/>
      <c r="AG300" s="63"/>
      <c r="AH300" s="63"/>
      <c r="AI300" s="63"/>
    </row>
    <row r="301" spans="4:35" s="66" customFormat="1">
      <c r="D301" s="75"/>
      <c r="F301" s="63"/>
      <c r="G301" s="63"/>
      <c r="H301" s="63"/>
      <c r="I301" s="63"/>
      <c r="J301" s="63"/>
      <c r="K301" s="63"/>
      <c r="L301" s="63"/>
      <c r="M301" s="63"/>
      <c r="N301" s="63"/>
      <c r="O301" s="63"/>
      <c r="P301" s="63"/>
      <c r="Q301" s="63"/>
      <c r="R301" s="63"/>
      <c r="S301" s="63"/>
      <c r="T301" s="63"/>
      <c r="U301" s="63"/>
      <c r="V301" s="63"/>
      <c r="W301" s="63"/>
      <c r="X301" s="63"/>
      <c r="Y301" s="63"/>
      <c r="Z301" s="63"/>
      <c r="AA301" s="63"/>
      <c r="AB301" s="63"/>
      <c r="AC301" s="63"/>
      <c r="AD301" s="63"/>
      <c r="AE301" s="63"/>
      <c r="AF301" s="63"/>
      <c r="AG301" s="63"/>
      <c r="AH301" s="63"/>
      <c r="AI301" s="63"/>
    </row>
    <row r="302" spans="4:35" s="66" customFormat="1">
      <c r="D302" s="75"/>
      <c r="F302" s="63"/>
      <c r="G302" s="63"/>
      <c r="H302" s="63"/>
      <c r="I302" s="63"/>
      <c r="J302" s="63"/>
      <c r="K302" s="63"/>
      <c r="L302" s="63"/>
      <c r="M302" s="63"/>
      <c r="N302" s="63"/>
      <c r="O302" s="63"/>
      <c r="P302" s="63"/>
      <c r="Q302" s="63"/>
      <c r="R302" s="63"/>
      <c r="S302" s="63"/>
      <c r="T302" s="63"/>
      <c r="U302" s="63"/>
      <c r="V302" s="63"/>
      <c r="W302" s="63"/>
      <c r="X302" s="63"/>
      <c r="Y302" s="63"/>
      <c r="Z302" s="63"/>
      <c r="AA302" s="63"/>
      <c r="AB302" s="63"/>
      <c r="AC302" s="63"/>
      <c r="AD302" s="63"/>
      <c r="AE302" s="63"/>
      <c r="AF302" s="63"/>
      <c r="AG302" s="63"/>
      <c r="AH302" s="63"/>
      <c r="AI302" s="63"/>
    </row>
    <row r="303" spans="4:35" s="66" customFormat="1">
      <c r="D303" s="75"/>
      <c r="F303" s="63"/>
      <c r="G303" s="63"/>
      <c r="H303" s="63"/>
      <c r="I303" s="63"/>
      <c r="J303" s="63"/>
      <c r="K303" s="63"/>
      <c r="L303" s="63"/>
      <c r="M303" s="63"/>
      <c r="N303" s="63"/>
      <c r="O303" s="63"/>
      <c r="P303" s="63"/>
      <c r="Q303" s="63"/>
      <c r="R303" s="63"/>
      <c r="S303" s="63"/>
      <c r="T303" s="63"/>
      <c r="U303" s="63"/>
      <c r="V303" s="63"/>
      <c r="W303" s="63"/>
      <c r="X303" s="63"/>
      <c r="Y303" s="63"/>
      <c r="Z303" s="63"/>
      <c r="AA303" s="63"/>
      <c r="AB303" s="63"/>
      <c r="AC303" s="63"/>
      <c r="AD303" s="63"/>
      <c r="AE303" s="63"/>
      <c r="AF303" s="63"/>
      <c r="AG303" s="63"/>
      <c r="AH303" s="63"/>
      <c r="AI303" s="63"/>
    </row>
    <row r="304" spans="4:35" s="66" customFormat="1">
      <c r="D304" s="75"/>
      <c r="F304" s="63"/>
      <c r="G304" s="63"/>
      <c r="H304" s="63"/>
      <c r="I304" s="63"/>
      <c r="J304" s="63"/>
      <c r="K304" s="63"/>
      <c r="L304" s="63"/>
      <c r="M304" s="63"/>
      <c r="N304" s="63"/>
      <c r="O304" s="63"/>
      <c r="P304" s="63"/>
      <c r="Q304" s="63"/>
      <c r="R304" s="63"/>
      <c r="S304" s="63"/>
      <c r="T304" s="63"/>
      <c r="U304" s="63"/>
      <c r="V304" s="63"/>
      <c r="W304" s="63"/>
      <c r="X304" s="63"/>
      <c r="Y304" s="63"/>
      <c r="Z304" s="63"/>
      <c r="AA304" s="63"/>
      <c r="AB304" s="63"/>
      <c r="AC304" s="63"/>
      <c r="AD304" s="63"/>
      <c r="AE304" s="63"/>
      <c r="AF304" s="63"/>
      <c r="AG304" s="63"/>
      <c r="AH304" s="63"/>
      <c r="AI304" s="63"/>
    </row>
    <row r="305" spans="4:35" s="66" customFormat="1">
      <c r="D305" s="75"/>
      <c r="F305" s="63"/>
      <c r="G305" s="63"/>
      <c r="H305" s="63"/>
      <c r="I305" s="63"/>
      <c r="J305" s="63"/>
      <c r="K305" s="63"/>
      <c r="L305" s="63"/>
      <c r="M305" s="63"/>
      <c r="N305" s="63"/>
      <c r="O305" s="63"/>
      <c r="P305" s="63"/>
      <c r="Q305" s="63"/>
      <c r="R305" s="63"/>
      <c r="S305" s="63"/>
      <c r="T305" s="63"/>
      <c r="U305" s="63"/>
      <c r="V305" s="63"/>
      <c r="W305" s="63"/>
      <c r="X305" s="63"/>
      <c r="Y305" s="63"/>
      <c r="Z305" s="63"/>
      <c r="AA305" s="63"/>
      <c r="AB305" s="63"/>
      <c r="AC305" s="63"/>
      <c r="AD305" s="63"/>
      <c r="AE305" s="63"/>
      <c r="AF305" s="63"/>
      <c r="AG305" s="63"/>
      <c r="AH305" s="63"/>
      <c r="AI305" s="63"/>
    </row>
    <row r="306" spans="4:35" s="66" customFormat="1">
      <c r="D306" s="75"/>
      <c r="F306" s="63"/>
      <c r="G306" s="63"/>
      <c r="H306" s="63"/>
      <c r="I306" s="63"/>
      <c r="J306" s="63"/>
      <c r="K306" s="63"/>
      <c r="L306" s="63"/>
      <c r="M306" s="63"/>
      <c r="N306" s="63"/>
      <c r="O306" s="63"/>
      <c r="P306" s="63"/>
      <c r="Q306" s="63"/>
      <c r="R306" s="63"/>
      <c r="S306" s="63"/>
      <c r="T306" s="63"/>
      <c r="U306" s="63"/>
      <c r="V306" s="63"/>
      <c r="W306" s="63"/>
      <c r="X306" s="63"/>
      <c r="Y306" s="63"/>
      <c r="Z306" s="63"/>
      <c r="AA306" s="63"/>
      <c r="AB306" s="63"/>
      <c r="AC306" s="63"/>
      <c r="AD306" s="63"/>
      <c r="AE306" s="63"/>
      <c r="AF306" s="63"/>
      <c r="AG306" s="63"/>
      <c r="AH306" s="63"/>
      <c r="AI306" s="63"/>
    </row>
    <row r="307" spans="4:35" s="66" customFormat="1">
      <c r="D307" s="75"/>
      <c r="F307" s="63"/>
      <c r="G307" s="63"/>
      <c r="H307" s="63"/>
      <c r="I307" s="63"/>
      <c r="J307" s="63"/>
      <c r="K307" s="63"/>
      <c r="L307" s="63"/>
      <c r="M307" s="63"/>
      <c r="N307" s="63"/>
      <c r="O307" s="63"/>
      <c r="P307" s="63"/>
      <c r="Q307" s="63"/>
      <c r="R307" s="63"/>
      <c r="S307" s="63"/>
      <c r="T307" s="63"/>
      <c r="U307" s="63"/>
      <c r="V307" s="63"/>
      <c r="W307" s="63"/>
      <c r="X307" s="63"/>
      <c r="Y307" s="63"/>
      <c r="Z307" s="63"/>
      <c r="AA307" s="63"/>
      <c r="AB307" s="63"/>
      <c r="AC307" s="63"/>
      <c r="AD307" s="63"/>
      <c r="AE307" s="63"/>
      <c r="AF307" s="63"/>
      <c r="AG307" s="63"/>
      <c r="AH307" s="63"/>
      <c r="AI307" s="63"/>
    </row>
    <row r="308" spans="4:35" s="66" customFormat="1">
      <c r="D308" s="75"/>
      <c r="F308" s="63"/>
      <c r="G308" s="63"/>
      <c r="H308" s="63"/>
      <c r="I308" s="63"/>
      <c r="J308" s="63"/>
      <c r="K308" s="63"/>
      <c r="L308" s="63"/>
      <c r="M308" s="63"/>
      <c r="N308" s="63"/>
      <c r="O308" s="63"/>
      <c r="P308" s="63"/>
      <c r="Q308" s="63"/>
      <c r="R308" s="63"/>
      <c r="S308" s="63"/>
      <c r="T308" s="63"/>
      <c r="U308" s="63"/>
      <c r="V308" s="63"/>
      <c r="W308" s="63"/>
      <c r="X308" s="63"/>
      <c r="Y308" s="63"/>
      <c r="Z308" s="63"/>
      <c r="AA308" s="63"/>
      <c r="AB308" s="63"/>
      <c r="AC308" s="63"/>
      <c r="AD308" s="63"/>
      <c r="AE308" s="63"/>
      <c r="AF308" s="63"/>
      <c r="AG308" s="63"/>
      <c r="AH308" s="63"/>
      <c r="AI308" s="63"/>
    </row>
    <row r="309" spans="4:35" s="66" customFormat="1">
      <c r="D309" s="75"/>
      <c r="F309" s="63"/>
      <c r="G309" s="63"/>
      <c r="H309" s="63"/>
      <c r="I309" s="63"/>
      <c r="J309" s="63"/>
      <c r="K309" s="63"/>
      <c r="L309" s="63"/>
      <c r="M309" s="63"/>
      <c r="N309" s="63"/>
      <c r="O309" s="63"/>
      <c r="P309" s="63"/>
      <c r="Q309" s="63"/>
      <c r="R309" s="63"/>
      <c r="S309" s="63"/>
      <c r="T309" s="63"/>
      <c r="U309" s="63"/>
      <c r="V309" s="63"/>
      <c r="W309" s="63"/>
      <c r="X309" s="63"/>
      <c r="Y309" s="63"/>
      <c r="Z309" s="63"/>
      <c r="AA309" s="63"/>
      <c r="AB309" s="63"/>
      <c r="AC309" s="63"/>
      <c r="AD309" s="63"/>
      <c r="AE309" s="63"/>
      <c r="AF309" s="63"/>
      <c r="AG309" s="63"/>
      <c r="AH309" s="63"/>
      <c r="AI309" s="63"/>
    </row>
    <row r="310" spans="4:35" s="66" customFormat="1">
      <c r="D310" s="75"/>
      <c r="F310" s="63"/>
      <c r="G310" s="63"/>
      <c r="H310" s="63"/>
      <c r="I310" s="63"/>
      <c r="J310" s="63"/>
      <c r="K310" s="63"/>
      <c r="L310" s="63"/>
      <c r="M310" s="63"/>
      <c r="N310" s="63"/>
      <c r="O310" s="63"/>
      <c r="P310" s="63"/>
      <c r="Q310" s="63"/>
      <c r="R310" s="63"/>
      <c r="S310" s="63"/>
      <c r="T310" s="63"/>
      <c r="U310" s="63"/>
      <c r="V310" s="63"/>
      <c r="W310" s="63"/>
      <c r="X310" s="63"/>
      <c r="Y310" s="63"/>
      <c r="Z310" s="63"/>
      <c r="AA310" s="63"/>
      <c r="AB310" s="63"/>
      <c r="AC310" s="63"/>
      <c r="AD310" s="63"/>
      <c r="AE310" s="63"/>
      <c r="AF310" s="63"/>
      <c r="AG310" s="63"/>
      <c r="AH310" s="63"/>
      <c r="AI310" s="63"/>
    </row>
    <row r="311" spans="4:35" s="66" customFormat="1">
      <c r="D311" s="75"/>
      <c r="F311" s="63"/>
      <c r="G311" s="63"/>
      <c r="H311" s="63"/>
      <c r="I311" s="63"/>
      <c r="J311" s="63"/>
      <c r="K311" s="63"/>
      <c r="L311" s="63"/>
      <c r="M311" s="63"/>
      <c r="N311" s="63"/>
      <c r="O311" s="63"/>
      <c r="P311" s="63"/>
      <c r="Q311" s="63"/>
      <c r="R311" s="63"/>
      <c r="S311" s="63"/>
      <c r="T311" s="63"/>
      <c r="U311" s="63"/>
      <c r="V311" s="63"/>
      <c r="W311" s="63"/>
      <c r="X311" s="63"/>
      <c r="Y311" s="63"/>
      <c r="Z311" s="63"/>
      <c r="AA311" s="63"/>
      <c r="AB311" s="63"/>
      <c r="AC311" s="63"/>
      <c r="AD311" s="63"/>
      <c r="AE311" s="63"/>
      <c r="AF311" s="63"/>
      <c r="AG311" s="63"/>
      <c r="AH311" s="63"/>
      <c r="AI311" s="63"/>
    </row>
    <row r="312" spans="4:35" s="66" customFormat="1">
      <c r="D312" s="75"/>
      <c r="F312" s="63"/>
      <c r="G312" s="63"/>
      <c r="H312" s="63"/>
      <c r="I312" s="63"/>
      <c r="J312" s="63"/>
      <c r="K312" s="63"/>
      <c r="L312" s="63"/>
      <c r="M312" s="63"/>
      <c r="N312" s="63"/>
      <c r="O312" s="63"/>
      <c r="P312" s="63"/>
      <c r="Q312" s="63"/>
      <c r="R312" s="63"/>
      <c r="S312" s="63"/>
      <c r="T312" s="63"/>
      <c r="U312" s="63"/>
      <c r="V312" s="63"/>
      <c r="W312" s="63"/>
      <c r="X312" s="63"/>
      <c r="Y312" s="63"/>
      <c r="Z312" s="63"/>
      <c r="AA312" s="63"/>
      <c r="AB312" s="63"/>
      <c r="AC312" s="63"/>
      <c r="AD312" s="63"/>
      <c r="AE312" s="63"/>
      <c r="AF312" s="63"/>
      <c r="AG312" s="63"/>
      <c r="AH312" s="63"/>
      <c r="AI312" s="63"/>
    </row>
    <row r="313" spans="4:35" s="66" customFormat="1">
      <c r="D313" s="75"/>
      <c r="F313" s="63"/>
      <c r="G313" s="63"/>
      <c r="H313" s="63"/>
      <c r="I313" s="63"/>
      <c r="J313" s="63"/>
      <c r="K313" s="63"/>
      <c r="L313" s="63"/>
      <c r="M313" s="63"/>
      <c r="N313" s="63"/>
      <c r="O313" s="63"/>
      <c r="P313" s="63"/>
      <c r="Q313" s="63"/>
      <c r="R313" s="63"/>
      <c r="S313" s="63"/>
      <c r="T313" s="63"/>
      <c r="U313" s="63"/>
      <c r="V313" s="63"/>
      <c r="W313" s="63"/>
      <c r="X313" s="63"/>
      <c r="Y313" s="63"/>
      <c r="Z313" s="63"/>
      <c r="AA313" s="63"/>
      <c r="AB313" s="63"/>
      <c r="AC313" s="63"/>
      <c r="AD313" s="63"/>
      <c r="AE313" s="63"/>
      <c r="AF313" s="63"/>
      <c r="AG313" s="63"/>
      <c r="AH313" s="63"/>
      <c r="AI313" s="63"/>
    </row>
    <row r="314" spans="4:35" s="66" customFormat="1">
      <c r="D314" s="75"/>
      <c r="F314" s="63"/>
      <c r="G314" s="63"/>
      <c r="H314" s="63"/>
      <c r="I314" s="63"/>
      <c r="J314" s="63"/>
      <c r="K314" s="63"/>
      <c r="L314" s="63"/>
      <c r="M314" s="63"/>
      <c r="N314" s="63"/>
      <c r="O314" s="63"/>
      <c r="P314" s="63"/>
      <c r="Q314" s="63"/>
      <c r="R314" s="63"/>
      <c r="S314" s="63"/>
      <c r="T314" s="63"/>
      <c r="U314" s="63"/>
      <c r="V314" s="63"/>
      <c r="W314" s="63"/>
      <c r="X314" s="63"/>
      <c r="Y314" s="63"/>
      <c r="Z314" s="63"/>
      <c r="AA314" s="63"/>
      <c r="AB314" s="63"/>
      <c r="AC314" s="63"/>
      <c r="AD314" s="63"/>
      <c r="AE314" s="63"/>
      <c r="AF314" s="63"/>
      <c r="AG314" s="63"/>
      <c r="AH314" s="63"/>
      <c r="AI314" s="63"/>
    </row>
    <row r="315" spans="4:35" s="66" customFormat="1">
      <c r="D315" s="75"/>
      <c r="F315" s="63"/>
      <c r="G315" s="63"/>
      <c r="H315" s="63"/>
      <c r="I315" s="63"/>
      <c r="J315" s="63"/>
      <c r="K315" s="63"/>
      <c r="L315" s="63"/>
      <c r="M315" s="63"/>
      <c r="N315" s="63"/>
      <c r="O315" s="63"/>
      <c r="P315" s="63"/>
      <c r="Q315" s="63"/>
      <c r="R315" s="63"/>
      <c r="S315" s="63"/>
      <c r="T315" s="63"/>
      <c r="U315" s="63"/>
      <c r="V315" s="63"/>
      <c r="W315" s="63"/>
      <c r="X315" s="63"/>
      <c r="Y315" s="63"/>
      <c r="Z315" s="63"/>
      <c r="AA315" s="63"/>
      <c r="AB315" s="63"/>
      <c r="AC315" s="63"/>
      <c r="AD315" s="63"/>
      <c r="AE315" s="63"/>
      <c r="AF315" s="63"/>
      <c r="AG315" s="63"/>
      <c r="AH315" s="63"/>
      <c r="AI315" s="63"/>
    </row>
    <row r="316" spans="4:35" s="66" customFormat="1">
      <c r="D316" s="75"/>
      <c r="F316" s="63"/>
      <c r="G316" s="63"/>
      <c r="H316" s="63"/>
      <c r="I316" s="63"/>
      <c r="J316" s="63"/>
      <c r="K316" s="63"/>
      <c r="L316" s="63"/>
      <c r="M316" s="63"/>
      <c r="N316" s="63"/>
      <c r="O316" s="63"/>
      <c r="P316" s="63"/>
      <c r="Q316" s="63"/>
      <c r="R316" s="63"/>
      <c r="S316" s="63"/>
      <c r="T316" s="63"/>
      <c r="U316" s="63"/>
      <c r="V316" s="63"/>
      <c r="W316" s="63"/>
      <c r="X316" s="63"/>
      <c r="Y316" s="63"/>
      <c r="Z316" s="63"/>
      <c r="AA316" s="63"/>
      <c r="AB316" s="63"/>
      <c r="AC316" s="63"/>
      <c r="AD316" s="63"/>
      <c r="AE316" s="63"/>
      <c r="AF316" s="63"/>
      <c r="AG316" s="63"/>
      <c r="AH316" s="63"/>
      <c r="AI316" s="63"/>
    </row>
    <row r="317" spans="4:35" s="66" customFormat="1">
      <c r="D317" s="75"/>
      <c r="F317" s="63"/>
      <c r="G317" s="63"/>
      <c r="H317" s="63"/>
      <c r="I317" s="63"/>
      <c r="J317" s="63"/>
      <c r="K317" s="63"/>
      <c r="L317" s="63"/>
      <c r="M317" s="63"/>
      <c r="N317" s="63"/>
      <c r="O317" s="63"/>
      <c r="P317" s="63"/>
      <c r="Q317" s="63"/>
      <c r="R317" s="63"/>
      <c r="S317" s="63"/>
      <c r="T317" s="63"/>
      <c r="U317" s="63"/>
      <c r="V317" s="63"/>
      <c r="W317" s="63"/>
      <c r="X317" s="63"/>
      <c r="Y317" s="63"/>
      <c r="Z317" s="63"/>
      <c r="AA317" s="63"/>
      <c r="AB317" s="63"/>
      <c r="AC317" s="63"/>
      <c r="AD317" s="63"/>
      <c r="AE317" s="63"/>
      <c r="AF317" s="63"/>
      <c r="AG317" s="63"/>
      <c r="AH317" s="63"/>
      <c r="AI317" s="63"/>
    </row>
    <row r="318" spans="4:35" s="66" customFormat="1">
      <c r="D318" s="75"/>
      <c r="F318" s="63"/>
      <c r="G318" s="63"/>
      <c r="H318" s="63"/>
      <c r="I318" s="63"/>
      <c r="J318" s="63"/>
      <c r="K318" s="63"/>
      <c r="L318" s="63"/>
      <c r="M318" s="63"/>
      <c r="N318" s="63"/>
      <c r="O318" s="63"/>
      <c r="P318" s="63"/>
      <c r="Q318" s="63"/>
      <c r="R318" s="63"/>
      <c r="S318" s="63"/>
      <c r="T318" s="63"/>
      <c r="U318" s="63"/>
      <c r="V318" s="63"/>
      <c r="W318" s="63"/>
      <c r="X318" s="63"/>
      <c r="Y318" s="63"/>
      <c r="Z318" s="63"/>
      <c r="AA318" s="63"/>
      <c r="AB318" s="63"/>
      <c r="AC318" s="63"/>
      <c r="AD318" s="63"/>
      <c r="AE318" s="63"/>
      <c r="AF318" s="63"/>
      <c r="AG318" s="63"/>
      <c r="AH318" s="63"/>
      <c r="AI318" s="63"/>
    </row>
    <row r="319" spans="4:35" s="66" customFormat="1">
      <c r="D319" s="75"/>
      <c r="F319" s="63"/>
      <c r="G319" s="63"/>
      <c r="H319" s="63"/>
      <c r="I319" s="63"/>
      <c r="J319" s="63"/>
      <c r="K319" s="63"/>
      <c r="L319" s="63"/>
      <c r="M319" s="63"/>
      <c r="N319" s="63"/>
      <c r="O319" s="63"/>
      <c r="P319" s="63"/>
      <c r="Q319" s="63"/>
      <c r="R319" s="63"/>
      <c r="S319" s="63"/>
      <c r="T319" s="63"/>
      <c r="U319" s="63"/>
      <c r="V319" s="63"/>
      <c r="W319" s="63"/>
      <c r="X319" s="63"/>
      <c r="Y319" s="63"/>
      <c r="Z319" s="63"/>
      <c r="AA319" s="63"/>
      <c r="AB319" s="63"/>
      <c r="AC319" s="63"/>
      <c r="AD319" s="63"/>
      <c r="AE319" s="63"/>
      <c r="AF319" s="63"/>
      <c r="AG319" s="63"/>
      <c r="AH319" s="63"/>
      <c r="AI319" s="63"/>
    </row>
    <row r="320" spans="4:35" s="66" customFormat="1">
      <c r="D320" s="75"/>
      <c r="F320" s="63"/>
      <c r="G320" s="63"/>
      <c r="H320" s="63"/>
      <c r="I320" s="63"/>
      <c r="J320" s="63"/>
      <c r="K320" s="63"/>
      <c r="L320" s="63"/>
      <c r="M320" s="63"/>
      <c r="N320" s="63"/>
      <c r="O320" s="63"/>
      <c r="P320" s="63"/>
      <c r="Q320" s="63"/>
      <c r="R320" s="63"/>
      <c r="S320" s="63"/>
      <c r="T320" s="63"/>
      <c r="U320" s="63"/>
      <c r="V320" s="63"/>
      <c r="W320" s="63"/>
      <c r="X320" s="63"/>
      <c r="Y320" s="63"/>
      <c r="Z320" s="63"/>
      <c r="AA320" s="63"/>
      <c r="AB320" s="63"/>
      <c r="AC320" s="63"/>
      <c r="AD320" s="63"/>
      <c r="AE320" s="63"/>
      <c r="AF320" s="63"/>
      <c r="AG320" s="63"/>
      <c r="AH320" s="63"/>
      <c r="AI320" s="63"/>
    </row>
    <row r="321" spans="4:35" s="66" customFormat="1">
      <c r="D321" s="75"/>
      <c r="F321" s="63"/>
      <c r="G321" s="63"/>
      <c r="H321" s="63"/>
      <c r="I321" s="63"/>
      <c r="J321" s="63"/>
      <c r="K321" s="63"/>
      <c r="L321" s="63"/>
      <c r="M321" s="63"/>
      <c r="N321" s="63"/>
      <c r="O321" s="63"/>
      <c r="P321" s="63"/>
      <c r="Q321" s="63"/>
      <c r="R321" s="63"/>
      <c r="S321" s="63"/>
      <c r="T321" s="63"/>
      <c r="U321" s="63"/>
      <c r="V321" s="63"/>
      <c r="W321" s="63"/>
      <c r="X321" s="63"/>
      <c r="Y321" s="63"/>
      <c r="Z321" s="63"/>
      <c r="AA321" s="63"/>
      <c r="AB321" s="63"/>
      <c r="AC321" s="63"/>
      <c r="AD321" s="63"/>
      <c r="AE321" s="63"/>
      <c r="AF321" s="63"/>
      <c r="AG321" s="63"/>
      <c r="AH321" s="63"/>
      <c r="AI321" s="63"/>
    </row>
    <row r="322" spans="4:35" s="66" customFormat="1">
      <c r="D322" s="75"/>
      <c r="F322" s="63"/>
      <c r="G322" s="63"/>
      <c r="H322" s="63"/>
      <c r="I322" s="63"/>
      <c r="J322" s="63"/>
      <c r="K322" s="63"/>
      <c r="L322" s="63"/>
      <c r="M322" s="63"/>
      <c r="N322" s="63"/>
      <c r="O322" s="63"/>
      <c r="P322" s="63"/>
      <c r="Q322" s="63"/>
      <c r="R322" s="63"/>
      <c r="S322" s="63"/>
      <c r="T322" s="63"/>
      <c r="U322" s="63"/>
      <c r="V322" s="63"/>
      <c r="W322" s="63"/>
      <c r="X322" s="63"/>
      <c r="Y322" s="63"/>
      <c r="Z322" s="63"/>
      <c r="AA322" s="63"/>
      <c r="AB322" s="63"/>
      <c r="AC322" s="63"/>
      <c r="AD322" s="63"/>
      <c r="AE322" s="63"/>
      <c r="AF322" s="63"/>
      <c r="AG322" s="63"/>
      <c r="AH322" s="63"/>
      <c r="AI322" s="63"/>
    </row>
    <row r="323" spans="4:35" s="66" customFormat="1">
      <c r="D323" s="75"/>
      <c r="F323" s="63"/>
      <c r="G323" s="63"/>
      <c r="H323" s="63"/>
      <c r="I323" s="63"/>
      <c r="J323" s="63"/>
      <c r="K323" s="63"/>
      <c r="L323" s="63"/>
      <c r="M323" s="63"/>
      <c r="N323" s="63"/>
      <c r="O323" s="63"/>
      <c r="P323" s="63"/>
      <c r="Q323" s="63"/>
      <c r="R323" s="63"/>
      <c r="S323" s="63"/>
      <c r="T323" s="63"/>
      <c r="U323" s="63"/>
      <c r="V323" s="63"/>
      <c r="W323" s="63"/>
      <c r="X323" s="63"/>
      <c r="Y323" s="63"/>
      <c r="Z323" s="63"/>
      <c r="AA323" s="63"/>
      <c r="AB323" s="63"/>
      <c r="AC323" s="63"/>
      <c r="AD323" s="63"/>
      <c r="AE323" s="63"/>
      <c r="AF323" s="63"/>
      <c r="AG323" s="63"/>
      <c r="AH323" s="63"/>
      <c r="AI323" s="63"/>
    </row>
    <row r="324" spans="4:35" s="66" customFormat="1">
      <c r="D324" s="75"/>
      <c r="F324" s="63"/>
      <c r="G324" s="63"/>
      <c r="H324" s="63"/>
      <c r="I324" s="63"/>
      <c r="J324" s="63"/>
      <c r="K324" s="63"/>
      <c r="L324" s="63"/>
      <c r="M324" s="63"/>
      <c r="N324" s="63"/>
      <c r="O324" s="63"/>
      <c r="P324" s="63"/>
      <c r="Q324" s="63"/>
      <c r="R324" s="63"/>
      <c r="S324" s="63"/>
      <c r="T324" s="63"/>
      <c r="U324" s="63"/>
      <c r="V324" s="63"/>
      <c r="W324" s="63"/>
      <c r="X324" s="63"/>
      <c r="Y324" s="63"/>
      <c r="Z324" s="63"/>
      <c r="AA324" s="63"/>
      <c r="AB324" s="63"/>
      <c r="AC324" s="63"/>
      <c r="AD324" s="63"/>
      <c r="AE324" s="63"/>
      <c r="AF324" s="63"/>
      <c r="AG324" s="63"/>
      <c r="AH324" s="63"/>
      <c r="AI324" s="63"/>
    </row>
    <row r="325" spans="4:35" s="66" customFormat="1">
      <c r="D325" s="75"/>
      <c r="F325" s="63"/>
      <c r="G325" s="63"/>
      <c r="H325" s="63"/>
      <c r="I325" s="63"/>
      <c r="J325" s="63"/>
      <c r="K325" s="63"/>
      <c r="L325" s="63"/>
      <c r="M325" s="63"/>
      <c r="N325" s="63"/>
      <c r="O325" s="63"/>
      <c r="P325" s="63"/>
      <c r="Q325" s="63"/>
      <c r="R325" s="63"/>
      <c r="S325" s="63"/>
      <c r="T325" s="63"/>
      <c r="U325" s="63"/>
      <c r="V325" s="63"/>
      <c r="W325" s="63"/>
      <c r="X325" s="63"/>
      <c r="Y325" s="63"/>
      <c r="Z325" s="63"/>
      <c r="AA325" s="63"/>
      <c r="AB325" s="63"/>
      <c r="AC325" s="63"/>
      <c r="AD325" s="63"/>
      <c r="AE325" s="63"/>
      <c r="AF325" s="63"/>
      <c r="AG325" s="63"/>
      <c r="AH325" s="63"/>
      <c r="AI325" s="63"/>
    </row>
    <row r="326" spans="4:35" s="66" customFormat="1">
      <c r="D326" s="75"/>
      <c r="F326" s="63"/>
      <c r="G326" s="63"/>
      <c r="H326" s="63"/>
      <c r="I326" s="63"/>
      <c r="J326" s="63"/>
      <c r="K326" s="63"/>
      <c r="L326" s="63"/>
      <c r="M326" s="63"/>
      <c r="N326" s="63"/>
      <c r="O326" s="63"/>
      <c r="P326" s="63"/>
      <c r="Q326" s="63"/>
      <c r="R326" s="63"/>
      <c r="S326" s="63"/>
      <c r="T326" s="63"/>
      <c r="U326" s="63"/>
      <c r="V326" s="63"/>
      <c r="W326" s="63"/>
      <c r="X326" s="63"/>
      <c r="Y326" s="63"/>
      <c r="Z326" s="63"/>
      <c r="AA326" s="63"/>
      <c r="AB326" s="63"/>
      <c r="AC326" s="63"/>
      <c r="AD326" s="63"/>
      <c r="AE326" s="63"/>
      <c r="AF326" s="63"/>
      <c r="AG326" s="63"/>
      <c r="AH326" s="63"/>
      <c r="AI326" s="63"/>
    </row>
    <row r="327" spans="4:35" s="66" customFormat="1">
      <c r="D327" s="75"/>
      <c r="F327" s="63"/>
      <c r="G327" s="63"/>
      <c r="H327" s="63"/>
      <c r="I327" s="63"/>
      <c r="J327" s="63"/>
      <c r="K327" s="63"/>
      <c r="L327" s="63"/>
      <c r="M327" s="63"/>
      <c r="N327" s="63"/>
      <c r="O327" s="63"/>
      <c r="P327" s="63"/>
      <c r="Q327" s="63"/>
      <c r="R327" s="63"/>
      <c r="S327" s="63"/>
      <c r="T327" s="63"/>
      <c r="U327" s="63"/>
      <c r="V327" s="63"/>
      <c r="W327" s="63"/>
      <c r="X327" s="63"/>
      <c r="Y327" s="63"/>
      <c r="Z327" s="63"/>
      <c r="AA327" s="63"/>
      <c r="AB327" s="63"/>
      <c r="AC327" s="63"/>
      <c r="AD327" s="63"/>
      <c r="AE327" s="63"/>
      <c r="AF327" s="63"/>
      <c r="AG327" s="63"/>
      <c r="AH327" s="63"/>
      <c r="AI327" s="63"/>
    </row>
    <row r="328" spans="4:35" s="66" customFormat="1">
      <c r="D328" s="75"/>
      <c r="F328" s="63"/>
      <c r="G328" s="63"/>
      <c r="H328" s="63"/>
      <c r="I328" s="63"/>
      <c r="J328" s="63"/>
      <c r="K328" s="63"/>
      <c r="L328" s="63"/>
      <c r="M328" s="63"/>
      <c r="N328" s="63"/>
      <c r="O328" s="63"/>
      <c r="P328" s="63"/>
      <c r="Q328" s="63"/>
      <c r="R328" s="63"/>
      <c r="S328" s="63"/>
      <c r="T328" s="63"/>
      <c r="U328" s="63"/>
      <c r="V328" s="63"/>
      <c r="W328" s="63"/>
      <c r="X328" s="63"/>
      <c r="Y328" s="63"/>
      <c r="Z328" s="63"/>
      <c r="AA328" s="63"/>
      <c r="AB328" s="63"/>
      <c r="AC328" s="63"/>
      <c r="AD328" s="63"/>
      <c r="AE328" s="63"/>
      <c r="AF328" s="63"/>
      <c r="AG328" s="63"/>
      <c r="AH328" s="63"/>
      <c r="AI328" s="63"/>
    </row>
    <row r="329" spans="4:35" s="66" customFormat="1">
      <c r="D329" s="75"/>
      <c r="F329" s="63"/>
      <c r="G329" s="63"/>
      <c r="H329" s="63"/>
      <c r="I329" s="63"/>
      <c r="J329" s="63"/>
      <c r="K329" s="63"/>
      <c r="L329" s="63"/>
      <c r="M329" s="63"/>
      <c r="N329" s="63"/>
      <c r="O329" s="63"/>
      <c r="P329" s="63"/>
      <c r="Q329" s="63"/>
      <c r="R329" s="63"/>
      <c r="S329" s="63"/>
      <c r="T329" s="63"/>
      <c r="U329" s="63"/>
      <c r="V329" s="63"/>
      <c r="W329" s="63"/>
      <c r="X329" s="63"/>
      <c r="Y329" s="63"/>
      <c r="Z329" s="63"/>
      <c r="AA329" s="63"/>
      <c r="AB329" s="63"/>
      <c r="AC329" s="63"/>
      <c r="AD329" s="63"/>
      <c r="AE329" s="63"/>
      <c r="AF329" s="63"/>
      <c r="AG329" s="63"/>
      <c r="AH329" s="63"/>
      <c r="AI329" s="63"/>
    </row>
    <row r="330" spans="4:35" s="66" customFormat="1">
      <c r="D330" s="75"/>
      <c r="F330" s="63"/>
      <c r="G330" s="63"/>
      <c r="H330" s="63"/>
      <c r="I330" s="63"/>
      <c r="J330" s="63"/>
      <c r="K330" s="63"/>
      <c r="L330" s="63"/>
      <c r="M330" s="63"/>
      <c r="N330" s="63"/>
      <c r="O330" s="63"/>
      <c r="P330" s="63"/>
      <c r="Q330" s="63"/>
      <c r="R330" s="63"/>
      <c r="S330" s="63"/>
      <c r="T330" s="63"/>
      <c r="U330" s="63"/>
      <c r="V330" s="63"/>
      <c r="W330" s="63"/>
      <c r="X330" s="63"/>
      <c r="Y330" s="63"/>
      <c r="Z330" s="63"/>
      <c r="AA330" s="63"/>
      <c r="AB330" s="63"/>
      <c r="AC330" s="63"/>
      <c r="AD330" s="63"/>
      <c r="AE330" s="63"/>
      <c r="AF330" s="63"/>
      <c r="AG330" s="63"/>
      <c r="AH330" s="63"/>
      <c r="AI330" s="63"/>
    </row>
    <row r="331" spans="4:35" s="66" customFormat="1">
      <c r="D331" s="75"/>
      <c r="F331" s="63"/>
      <c r="G331" s="63"/>
      <c r="H331" s="63"/>
      <c r="I331" s="63"/>
      <c r="J331" s="63"/>
      <c r="K331" s="63"/>
      <c r="L331" s="63"/>
      <c r="M331" s="63"/>
      <c r="N331" s="63"/>
      <c r="O331" s="63"/>
      <c r="P331" s="63"/>
      <c r="Q331" s="63"/>
      <c r="R331" s="63"/>
      <c r="S331" s="63"/>
      <c r="T331" s="63"/>
      <c r="U331" s="63"/>
      <c r="V331" s="63"/>
      <c r="W331" s="63"/>
      <c r="X331" s="63"/>
      <c r="Y331" s="63"/>
      <c r="Z331" s="63"/>
      <c r="AA331" s="63"/>
      <c r="AB331" s="63"/>
      <c r="AC331" s="63"/>
      <c r="AD331" s="63"/>
      <c r="AE331" s="63"/>
      <c r="AF331" s="63"/>
      <c r="AG331" s="63"/>
      <c r="AH331" s="63"/>
      <c r="AI331" s="63"/>
    </row>
    <row r="332" spans="4:35" s="66" customFormat="1">
      <c r="D332" s="75"/>
      <c r="F332" s="63"/>
      <c r="G332" s="63"/>
      <c r="H332" s="63"/>
      <c r="I332" s="63"/>
      <c r="J332" s="63"/>
      <c r="K332" s="63"/>
      <c r="L332" s="63"/>
      <c r="M332" s="63"/>
      <c r="N332" s="63"/>
      <c r="O332" s="63"/>
      <c r="P332" s="63"/>
      <c r="Q332" s="63"/>
      <c r="R332" s="63"/>
      <c r="S332" s="63"/>
      <c r="T332" s="63"/>
      <c r="U332" s="63"/>
      <c r="V332" s="63"/>
      <c r="W332" s="63"/>
      <c r="X332" s="63"/>
      <c r="Y332" s="63"/>
      <c r="Z332" s="63"/>
      <c r="AA332" s="63"/>
      <c r="AB332" s="63"/>
      <c r="AC332" s="63"/>
      <c r="AD332" s="63"/>
      <c r="AE332" s="63"/>
      <c r="AF332" s="63"/>
      <c r="AG332" s="63"/>
      <c r="AH332" s="63"/>
      <c r="AI332" s="63"/>
    </row>
    <row r="333" spans="4:35" s="66" customFormat="1">
      <c r="D333" s="75"/>
      <c r="F333" s="63"/>
      <c r="G333" s="63"/>
      <c r="H333" s="63"/>
      <c r="I333" s="63"/>
      <c r="J333" s="63"/>
      <c r="K333" s="63"/>
      <c r="L333" s="63"/>
      <c r="M333" s="63"/>
      <c r="N333" s="63"/>
      <c r="O333" s="63"/>
      <c r="P333" s="63"/>
      <c r="Q333" s="63"/>
      <c r="R333" s="63"/>
      <c r="S333" s="63"/>
      <c r="T333" s="63"/>
      <c r="U333" s="63"/>
      <c r="V333" s="63"/>
      <c r="W333" s="63"/>
      <c r="X333" s="63"/>
      <c r="Y333" s="63"/>
      <c r="Z333" s="63"/>
      <c r="AA333" s="63"/>
      <c r="AB333" s="63"/>
      <c r="AC333" s="63"/>
      <c r="AD333" s="63"/>
      <c r="AE333" s="63"/>
      <c r="AF333" s="63"/>
      <c r="AG333" s="63"/>
      <c r="AH333" s="63"/>
      <c r="AI333" s="63"/>
    </row>
    <row r="334" spans="4:35" s="66" customFormat="1">
      <c r="D334" s="75"/>
      <c r="F334" s="63"/>
      <c r="G334" s="63"/>
      <c r="H334" s="63"/>
      <c r="I334" s="63"/>
      <c r="J334" s="63"/>
      <c r="K334" s="63"/>
      <c r="L334" s="63"/>
      <c r="M334" s="63"/>
      <c r="N334" s="63"/>
      <c r="O334" s="63"/>
      <c r="P334" s="63"/>
      <c r="Q334" s="63"/>
      <c r="R334" s="63"/>
      <c r="S334" s="63"/>
      <c r="T334" s="63"/>
      <c r="U334" s="63"/>
      <c r="V334" s="63"/>
      <c r="W334" s="63"/>
      <c r="X334" s="63"/>
      <c r="Y334" s="63"/>
      <c r="Z334" s="63"/>
      <c r="AA334" s="63"/>
      <c r="AB334" s="63"/>
      <c r="AC334" s="63"/>
      <c r="AD334" s="63"/>
      <c r="AE334" s="63"/>
      <c r="AF334" s="63"/>
      <c r="AG334" s="63"/>
      <c r="AH334" s="63"/>
      <c r="AI334" s="63"/>
    </row>
    <row r="335" spans="4:35" s="66" customFormat="1">
      <c r="D335" s="75"/>
      <c r="F335" s="63"/>
      <c r="G335" s="63"/>
      <c r="H335" s="63"/>
      <c r="I335" s="63"/>
      <c r="J335" s="63"/>
      <c r="K335" s="63"/>
      <c r="L335" s="63"/>
      <c r="M335" s="63"/>
      <c r="N335" s="63"/>
      <c r="O335" s="63"/>
      <c r="P335" s="63"/>
      <c r="Q335" s="63"/>
      <c r="R335" s="63"/>
      <c r="S335" s="63"/>
      <c r="T335" s="63"/>
      <c r="U335" s="63"/>
      <c r="V335" s="63"/>
      <c r="W335" s="63"/>
      <c r="X335" s="63"/>
      <c r="Y335" s="63"/>
      <c r="Z335" s="63"/>
      <c r="AA335" s="63"/>
      <c r="AB335" s="63"/>
      <c r="AC335" s="63"/>
      <c r="AD335" s="63"/>
      <c r="AE335" s="63"/>
      <c r="AF335" s="63"/>
      <c r="AG335" s="63"/>
      <c r="AH335" s="63"/>
      <c r="AI335" s="63"/>
    </row>
    <row r="336" spans="4:35" s="66" customFormat="1">
      <c r="D336" s="75"/>
      <c r="F336" s="63"/>
      <c r="G336" s="63"/>
      <c r="H336" s="63"/>
      <c r="I336" s="63"/>
      <c r="J336" s="63"/>
      <c r="K336" s="63"/>
      <c r="L336" s="63"/>
      <c r="M336" s="63"/>
      <c r="N336" s="63"/>
      <c r="O336" s="63"/>
      <c r="P336" s="63"/>
      <c r="Q336" s="63"/>
      <c r="R336" s="63"/>
      <c r="S336" s="63"/>
      <c r="T336" s="63"/>
      <c r="U336" s="63"/>
      <c r="V336" s="63"/>
      <c r="W336" s="63"/>
      <c r="X336" s="63"/>
      <c r="Y336" s="63"/>
      <c r="Z336" s="63"/>
      <c r="AA336" s="63"/>
      <c r="AB336" s="63"/>
      <c r="AC336" s="63"/>
      <c r="AD336" s="63"/>
      <c r="AE336" s="63"/>
      <c r="AF336" s="63"/>
      <c r="AG336" s="63"/>
      <c r="AH336" s="63"/>
      <c r="AI336" s="63"/>
    </row>
    <row r="337" spans="4:35" s="66" customFormat="1">
      <c r="D337" s="75"/>
      <c r="F337" s="63"/>
      <c r="G337" s="63"/>
      <c r="H337" s="63"/>
      <c r="I337" s="63"/>
      <c r="J337" s="63"/>
      <c r="K337" s="63"/>
      <c r="L337" s="63"/>
      <c r="M337" s="63"/>
      <c r="N337" s="63"/>
      <c r="O337" s="63"/>
      <c r="P337" s="63"/>
      <c r="Q337" s="63"/>
      <c r="R337" s="63"/>
      <c r="S337" s="63"/>
      <c r="T337" s="63"/>
      <c r="U337" s="63"/>
      <c r="V337" s="63"/>
      <c r="W337" s="63"/>
      <c r="X337" s="63"/>
      <c r="Y337" s="63"/>
      <c r="Z337" s="63"/>
      <c r="AA337" s="63"/>
      <c r="AB337" s="63"/>
      <c r="AC337" s="63"/>
      <c r="AD337" s="63"/>
      <c r="AE337" s="63"/>
      <c r="AF337" s="63"/>
      <c r="AG337" s="63"/>
      <c r="AH337" s="63"/>
      <c r="AI337" s="63"/>
    </row>
    <row r="338" spans="4:35" s="66" customFormat="1">
      <c r="D338" s="75"/>
      <c r="F338" s="63"/>
      <c r="G338" s="63"/>
      <c r="H338" s="63"/>
      <c r="I338" s="63"/>
      <c r="J338" s="63"/>
      <c r="K338" s="63"/>
      <c r="L338" s="63"/>
      <c r="M338" s="63"/>
      <c r="N338" s="63"/>
      <c r="O338" s="63"/>
      <c r="P338" s="63"/>
      <c r="Q338" s="63"/>
      <c r="R338" s="63"/>
      <c r="S338" s="63"/>
      <c r="T338" s="63"/>
      <c r="U338" s="63"/>
      <c r="V338" s="63"/>
      <c r="W338" s="63"/>
      <c r="X338" s="63"/>
      <c r="Y338" s="63"/>
      <c r="Z338" s="63"/>
      <c r="AA338" s="63"/>
      <c r="AB338" s="63"/>
      <c r="AC338" s="63"/>
      <c r="AD338" s="63"/>
      <c r="AE338" s="63"/>
      <c r="AF338" s="63"/>
      <c r="AG338" s="63"/>
      <c r="AH338" s="63"/>
      <c r="AI338" s="63"/>
    </row>
    <row r="339" spans="4:35" s="66" customFormat="1">
      <c r="D339" s="75"/>
      <c r="F339" s="63"/>
      <c r="G339" s="63"/>
      <c r="H339" s="63"/>
      <c r="I339" s="63"/>
      <c r="J339" s="63"/>
      <c r="K339" s="63"/>
      <c r="L339" s="63"/>
      <c r="M339" s="63"/>
      <c r="N339" s="63"/>
      <c r="O339" s="63"/>
      <c r="P339" s="63"/>
      <c r="Q339" s="63"/>
      <c r="R339" s="63"/>
      <c r="S339" s="63"/>
      <c r="T339" s="63"/>
      <c r="U339" s="63"/>
      <c r="V339" s="63"/>
      <c r="W339" s="63"/>
      <c r="X339" s="63"/>
      <c r="Y339" s="63"/>
      <c r="Z339" s="63"/>
      <c r="AA339" s="63"/>
      <c r="AB339" s="63"/>
      <c r="AC339" s="63"/>
      <c r="AD339" s="63"/>
      <c r="AE339" s="63"/>
      <c r="AF339" s="63"/>
      <c r="AG339" s="63"/>
      <c r="AH339" s="63"/>
      <c r="AI339" s="63"/>
    </row>
    <row r="340" spans="4:35" s="66" customFormat="1">
      <c r="D340" s="75"/>
      <c r="F340" s="63"/>
      <c r="G340" s="63"/>
      <c r="H340" s="63"/>
      <c r="I340" s="63"/>
      <c r="J340" s="63"/>
      <c r="K340" s="63"/>
      <c r="L340" s="63"/>
      <c r="M340" s="63"/>
      <c r="N340" s="63"/>
      <c r="O340" s="63"/>
      <c r="P340" s="63"/>
      <c r="Q340" s="63"/>
      <c r="R340" s="63"/>
      <c r="S340" s="63"/>
      <c r="T340" s="63"/>
      <c r="U340" s="63"/>
      <c r="V340" s="63"/>
      <c r="W340" s="63"/>
      <c r="X340" s="63"/>
      <c r="Y340" s="63"/>
      <c r="Z340" s="63"/>
      <c r="AA340" s="63"/>
      <c r="AB340" s="63"/>
      <c r="AC340" s="63"/>
      <c r="AD340" s="63"/>
      <c r="AE340" s="63"/>
      <c r="AF340" s="63"/>
      <c r="AG340" s="63"/>
      <c r="AH340" s="63"/>
      <c r="AI340" s="63"/>
    </row>
    <row r="341" spans="4:35" s="66" customFormat="1">
      <c r="D341" s="75"/>
      <c r="F341" s="63"/>
      <c r="G341" s="63"/>
      <c r="H341" s="63"/>
      <c r="I341" s="63"/>
      <c r="J341" s="63"/>
      <c r="K341" s="63"/>
      <c r="L341" s="63"/>
      <c r="M341" s="63"/>
      <c r="N341" s="63"/>
      <c r="O341" s="63"/>
      <c r="P341" s="63"/>
      <c r="Q341" s="63"/>
      <c r="R341" s="63"/>
      <c r="S341" s="63"/>
      <c r="T341" s="63"/>
      <c r="U341" s="63"/>
      <c r="V341" s="63"/>
      <c r="W341" s="63"/>
      <c r="X341" s="63"/>
      <c r="Y341" s="63"/>
      <c r="Z341" s="63"/>
      <c r="AA341" s="63"/>
      <c r="AB341" s="63"/>
      <c r="AC341" s="63"/>
      <c r="AD341" s="63"/>
      <c r="AE341" s="63"/>
      <c r="AF341" s="63"/>
      <c r="AG341" s="63"/>
      <c r="AH341" s="63"/>
      <c r="AI341" s="63"/>
    </row>
    <row r="342" spans="4:35" s="66" customFormat="1">
      <c r="D342" s="75"/>
      <c r="F342" s="63"/>
      <c r="G342" s="63"/>
      <c r="H342" s="63"/>
      <c r="I342" s="63"/>
      <c r="J342" s="63"/>
      <c r="K342" s="63"/>
      <c r="L342" s="63"/>
      <c r="M342" s="63"/>
      <c r="N342" s="63"/>
      <c r="O342" s="63"/>
      <c r="P342" s="63"/>
      <c r="Q342" s="63"/>
      <c r="R342" s="63"/>
      <c r="S342" s="63"/>
      <c r="T342" s="63"/>
      <c r="U342" s="63"/>
      <c r="V342" s="63"/>
      <c r="W342" s="63"/>
      <c r="X342" s="63"/>
      <c r="Y342" s="63"/>
      <c r="Z342" s="63"/>
      <c r="AA342" s="63"/>
      <c r="AB342" s="63"/>
      <c r="AC342" s="63"/>
      <c r="AD342" s="63"/>
      <c r="AE342" s="63"/>
      <c r="AF342" s="63"/>
      <c r="AG342" s="63"/>
      <c r="AH342" s="63"/>
      <c r="AI342" s="63"/>
    </row>
    <row r="343" spans="4:35" s="66" customFormat="1">
      <c r="D343" s="75"/>
      <c r="F343" s="63"/>
      <c r="G343" s="63"/>
      <c r="H343" s="63"/>
      <c r="I343" s="63"/>
      <c r="J343" s="63"/>
      <c r="K343" s="63"/>
      <c r="L343" s="63"/>
      <c r="M343" s="63"/>
      <c r="N343" s="63"/>
      <c r="O343" s="63"/>
      <c r="P343" s="63"/>
      <c r="Q343" s="63"/>
      <c r="R343" s="63"/>
      <c r="S343" s="63"/>
      <c r="T343" s="63"/>
      <c r="U343" s="63"/>
      <c r="V343" s="63"/>
      <c r="W343" s="63"/>
      <c r="X343" s="63"/>
      <c r="Y343" s="63"/>
      <c r="Z343" s="63"/>
      <c r="AA343" s="63"/>
      <c r="AB343" s="63"/>
      <c r="AC343" s="63"/>
      <c r="AD343" s="63"/>
      <c r="AE343" s="63"/>
      <c r="AF343" s="63"/>
      <c r="AG343" s="63"/>
      <c r="AH343" s="63"/>
      <c r="AI343" s="63"/>
    </row>
    <row r="344" spans="4:35" s="66" customFormat="1">
      <c r="D344" s="75"/>
      <c r="F344" s="63"/>
      <c r="G344" s="63"/>
      <c r="H344" s="63"/>
      <c r="I344" s="63"/>
      <c r="J344" s="63"/>
      <c r="K344" s="63"/>
      <c r="L344" s="63"/>
      <c r="M344" s="63"/>
      <c r="N344" s="63"/>
      <c r="O344" s="63"/>
      <c r="P344" s="63"/>
      <c r="Q344" s="63"/>
      <c r="R344" s="63"/>
      <c r="S344" s="63"/>
      <c r="T344" s="63"/>
      <c r="U344" s="63"/>
      <c r="V344" s="63"/>
      <c r="W344" s="63"/>
      <c r="X344" s="63"/>
      <c r="Y344" s="63"/>
      <c r="Z344" s="63"/>
      <c r="AA344" s="63"/>
      <c r="AB344" s="63"/>
      <c r="AC344" s="63"/>
      <c r="AD344" s="63"/>
      <c r="AE344" s="63"/>
      <c r="AF344" s="63"/>
      <c r="AG344" s="63"/>
      <c r="AH344" s="63"/>
      <c r="AI344" s="63"/>
    </row>
    <row r="345" spans="4:35" s="66" customFormat="1">
      <c r="D345" s="75"/>
      <c r="F345" s="63"/>
      <c r="G345" s="63"/>
      <c r="H345" s="63"/>
      <c r="I345" s="63"/>
      <c r="J345" s="63"/>
      <c r="K345" s="63"/>
      <c r="L345" s="63"/>
      <c r="M345" s="63"/>
      <c r="N345" s="63"/>
      <c r="O345" s="63"/>
      <c r="P345" s="63"/>
      <c r="Q345" s="63"/>
      <c r="R345" s="63"/>
      <c r="S345" s="63"/>
      <c r="T345" s="63"/>
      <c r="U345" s="63"/>
      <c r="V345" s="63"/>
      <c r="W345" s="63"/>
      <c r="X345" s="63"/>
      <c r="Y345" s="63"/>
      <c r="Z345" s="63"/>
      <c r="AA345" s="63"/>
      <c r="AB345" s="63"/>
      <c r="AC345" s="63"/>
      <c r="AD345" s="63"/>
      <c r="AE345" s="63"/>
      <c r="AF345" s="63"/>
      <c r="AG345" s="63"/>
      <c r="AH345" s="63"/>
      <c r="AI345" s="63"/>
    </row>
    <row r="346" spans="4:35" s="66" customFormat="1">
      <c r="D346" s="75"/>
      <c r="F346" s="63"/>
      <c r="G346" s="63"/>
      <c r="H346" s="63"/>
      <c r="I346" s="63"/>
      <c r="J346" s="63"/>
      <c r="K346" s="63"/>
      <c r="L346" s="63"/>
      <c r="M346" s="63"/>
      <c r="N346" s="63"/>
      <c r="O346" s="63"/>
      <c r="P346" s="63"/>
      <c r="Q346" s="63"/>
      <c r="R346" s="63"/>
      <c r="S346" s="63"/>
      <c r="T346" s="63"/>
      <c r="U346" s="63"/>
      <c r="V346" s="63"/>
      <c r="W346" s="63"/>
      <c r="X346" s="63"/>
      <c r="Y346" s="63"/>
      <c r="Z346" s="63"/>
      <c r="AA346" s="63"/>
      <c r="AB346" s="63"/>
      <c r="AC346" s="63"/>
      <c r="AD346" s="63"/>
      <c r="AE346" s="63"/>
      <c r="AF346" s="63"/>
      <c r="AG346" s="63"/>
      <c r="AH346" s="63"/>
      <c r="AI346" s="63"/>
    </row>
    <row r="347" spans="4:35" s="66" customFormat="1">
      <c r="D347" s="75"/>
      <c r="F347" s="63"/>
      <c r="G347" s="63"/>
      <c r="H347" s="63"/>
      <c r="I347" s="63"/>
      <c r="J347" s="63"/>
      <c r="K347" s="63"/>
      <c r="L347" s="63"/>
      <c r="M347" s="63"/>
      <c r="N347" s="63"/>
      <c r="O347" s="63"/>
      <c r="P347" s="63"/>
      <c r="Q347" s="63"/>
      <c r="R347" s="63"/>
      <c r="S347" s="63"/>
      <c r="T347" s="63"/>
      <c r="U347" s="63"/>
      <c r="V347" s="63"/>
      <c r="W347" s="63"/>
      <c r="X347" s="63"/>
      <c r="Y347" s="63"/>
      <c r="Z347" s="63"/>
      <c r="AA347" s="63"/>
      <c r="AB347" s="63"/>
      <c r="AC347" s="63"/>
      <c r="AD347" s="63"/>
      <c r="AE347" s="63"/>
      <c r="AF347" s="63"/>
      <c r="AG347" s="63"/>
      <c r="AH347" s="63"/>
      <c r="AI347" s="63"/>
    </row>
    <row r="348" spans="4:35" s="66" customFormat="1">
      <c r="D348" s="75"/>
      <c r="F348" s="63"/>
      <c r="G348" s="63"/>
      <c r="H348" s="63"/>
      <c r="I348" s="63"/>
      <c r="J348" s="63"/>
      <c r="K348" s="63"/>
      <c r="L348" s="63"/>
      <c r="M348" s="63"/>
      <c r="N348" s="63"/>
      <c r="O348" s="63"/>
      <c r="P348" s="63"/>
      <c r="Q348" s="63"/>
      <c r="R348" s="63"/>
      <c r="S348" s="63"/>
      <c r="T348" s="63"/>
      <c r="U348" s="63"/>
      <c r="V348" s="63"/>
      <c r="W348" s="63"/>
      <c r="X348" s="63"/>
      <c r="Y348" s="63"/>
      <c r="Z348" s="63"/>
      <c r="AA348" s="63"/>
      <c r="AB348" s="63"/>
      <c r="AC348" s="63"/>
      <c r="AD348" s="63"/>
      <c r="AE348" s="63"/>
      <c r="AF348" s="63"/>
      <c r="AG348" s="63"/>
      <c r="AH348" s="63"/>
      <c r="AI348" s="63"/>
    </row>
    <row r="349" spans="4:35" s="66" customFormat="1">
      <c r="D349" s="75"/>
      <c r="F349" s="63"/>
      <c r="G349" s="63"/>
      <c r="H349" s="63"/>
      <c r="I349" s="63"/>
      <c r="J349" s="63"/>
      <c r="K349" s="63"/>
      <c r="L349" s="63"/>
      <c r="M349" s="63"/>
      <c r="N349" s="63"/>
      <c r="O349" s="63"/>
      <c r="P349" s="63"/>
      <c r="Q349" s="63"/>
      <c r="R349" s="63"/>
      <c r="S349" s="63"/>
      <c r="T349" s="63"/>
      <c r="U349" s="63"/>
      <c r="V349" s="63"/>
      <c r="W349" s="63"/>
      <c r="X349" s="63"/>
      <c r="Y349" s="63"/>
      <c r="Z349" s="63"/>
      <c r="AA349" s="63"/>
      <c r="AB349" s="63"/>
      <c r="AC349" s="63"/>
      <c r="AD349" s="63"/>
      <c r="AE349" s="63"/>
      <c r="AF349" s="63"/>
      <c r="AG349" s="63"/>
      <c r="AH349" s="63"/>
      <c r="AI349" s="63"/>
    </row>
    <row r="350" spans="4:35" s="66" customFormat="1">
      <c r="D350" s="75"/>
      <c r="F350" s="63"/>
      <c r="G350" s="63"/>
      <c r="H350" s="63"/>
      <c r="I350" s="63"/>
      <c r="J350" s="63"/>
      <c r="K350" s="63"/>
      <c r="L350" s="63"/>
      <c r="M350" s="63"/>
      <c r="N350" s="63"/>
      <c r="O350" s="63"/>
      <c r="P350" s="63"/>
      <c r="Q350" s="63"/>
      <c r="R350" s="63"/>
      <c r="S350" s="63"/>
      <c r="T350" s="63"/>
      <c r="U350" s="63"/>
      <c r="V350" s="63"/>
      <c r="W350" s="63"/>
      <c r="X350" s="63"/>
      <c r="Y350" s="63"/>
      <c r="Z350" s="63"/>
      <c r="AA350" s="63"/>
      <c r="AB350" s="63"/>
      <c r="AC350" s="63"/>
      <c r="AD350" s="63"/>
      <c r="AE350" s="63"/>
      <c r="AF350" s="63"/>
      <c r="AG350" s="63"/>
      <c r="AH350" s="63"/>
      <c r="AI350" s="63"/>
    </row>
    <row r="351" spans="4:35" s="66" customFormat="1">
      <c r="D351" s="75"/>
      <c r="F351" s="63"/>
      <c r="G351" s="63"/>
      <c r="H351" s="63"/>
      <c r="I351" s="63"/>
      <c r="J351" s="63"/>
      <c r="K351" s="63"/>
      <c r="L351" s="63"/>
      <c r="M351" s="63"/>
      <c r="N351" s="63"/>
      <c r="O351" s="63"/>
      <c r="P351" s="63"/>
      <c r="Q351" s="63"/>
      <c r="R351" s="63"/>
      <c r="S351" s="63"/>
      <c r="T351" s="63"/>
      <c r="U351" s="63"/>
      <c r="V351" s="63"/>
      <c r="W351" s="63"/>
      <c r="X351" s="63"/>
      <c r="Y351" s="63"/>
      <c r="Z351" s="63"/>
      <c r="AA351" s="63"/>
      <c r="AB351" s="63"/>
      <c r="AC351" s="63"/>
      <c r="AD351" s="63"/>
      <c r="AE351" s="63"/>
      <c r="AF351" s="63"/>
      <c r="AG351" s="63"/>
      <c r="AH351" s="63"/>
      <c r="AI351" s="63"/>
    </row>
    <row r="352" spans="4:35" s="66" customFormat="1">
      <c r="D352" s="75"/>
      <c r="F352" s="63"/>
      <c r="G352" s="63"/>
      <c r="H352" s="63"/>
      <c r="I352" s="63"/>
      <c r="J352" s="63"/>
      <c r="K352" s="63"/>
      <c r="L352" s="63"/>
      <c r="M352" s="63"/>
      <c r="N352" s="63"/>
      <c r="O352" s="63"/>
      <c r="P352" s="63"/>
      <c r="Q352" s="63"/>
      <c r="R352" s="63"/>
      <c r="S352" s="63"/>
      <c r="T352" s="63"/>
      <c r="U352" s="63"/>
      <c r="V352" s="63"/>
      <c r="W352" s="63"/>
      <c r="X352" s="63"/>
      <c r="Y352" s="63"/>
      <c r="Z352" s="63"/>
      <c r="AA352" s="63"/>
      <c r="AB352" s="63"/>
      <c r="AC352" s="63"/>
      <c r="AD352" s="63"/>
      <c r="AE352" s="63"/>
      <c r="AF352" s="63"/>
      <c r="AG352" s="63"/>
      <c r="AH352" s="63"/>
      <c r="AI352" s="63"/>
    </row>
    <row r="353" spans="4:50" s="66" customFormat="1">
      <c r="D353" s="75"/>
      <c r="F353" s="63"/>
      <c r="G353" s="63"/>
      <c r="H353" s="63"/>
      <c r="I353" s="63"/>
      <c r="J353" s="63"/>
      <c r="K353" s="63"/>
      <c r="L353" s="63"/>
      <c r="M353" s="63"/>
      <c r="N353" s="63"/>
      <c r="O353" s="63"/>
      <c r="P353" s="63"/>
      <c r="Q353" s="63"/>
      <c r="R353" s="63"/>
      <c r="S353" s="63"/>
      <c r="T353" s="63"/>
      <c r="U353" s="63"/>
      <c r="V353" s="63"/>
      <c r="W353" s="63"/>
      <c r="X353" s="63"/>
      <c r="Y353" s="63"/>
      <c r="Z353" s="63"/>
      <c r="AA353" s="63"/>
      <c r="AB353" s="63"/>
      <c r="AC353" s="63"/>
      <c r="AD353" s="63"/>
      <c r="AE353" s="63"/>
      <c r="AF353" s="63"/>
      <c r="AG353" s="63"/>
      <c r="AH353" s="63"/>
      <c r="AI353" s="63"/>
    </row>
    <row r="354" spans="4:50" s="66" customFormat="1">
      <c r="D354" s="75"/>
      <c r="F354" s="63"/>
      <c r="G354" s="63"/>
      <c r="H354" s="63"/>
      <c r="I354" s="63"/>
      <c r="J354" s="63"/>
      <c r="K354" s="63"/>
      <c r="L354" s="63"/>
      <c r="M354" s="63"/>
      <c r="N354" s="63"/>
      <c r="O354" s="63"/>
      <c r="P354" s="63"/>
      <c r="Q354" s="63"/>
      <c r="R354" s="63"/>
      <c r="S354" s="63"/>
      <c r="T354" s="63"/>
      <c r="U354" s="63"/>
      <c r="V354" s="63"/>
      <c r="W354" s="63"/>
      <c r="X354" s="63"/>
      <c r="Y354" s="63"/>
      <c r="Z354" s="63"/>
      <c r="AA354" s="63"/>
      <c r="AB354" s="63"/>
      <c r="AC354" s="63"/>
      <c r="AD354" s="63"/>
      <c r="AE354" s="63"/>
      <c r="AF354" s="63"/>
      <c r="AG354" s="63"/>
      <c r="AH354" s="63"/>
      <c r="AI354" s="63"/>
    </row>
    <row r="355" spans="4:50" s="66" customFormat="1">
      <c r="D355" s="75"/>
      <c r="F355" s="63"/>
      <c r="G355" s="63"/>
      <c r="H355" s="63"/>
      <c r="I355" s="63"/>
      <c r="J355" s="63"/>
      <c r="K355" s="63"/>
      <c r="L355" s="63"/>
      <c r="M355" s="63"/>
      <c r="N355" s="63"/>
      <c r="O355" s="63"/>
      <c r="P355" s="63"/>
      <c r="Q355" s="63"/>
      <c r="R355" s="63"/>
      <c r="S355" s="63"/>
      <c r="T355" s="63"/>
      <c r="U355" s="63"/>
      <c r="V355" s="63"/>
      <c r="W355" s="63"/>
      <c r="X355" s="63"/>
      <c r="Y355" s="63"/>
      <c r="Z355" s="63"/>
      <c r="AA355" s="63"/>
      <c r="AB355" s="63"/>
      <c r="AC355" s="63"/>
      <c r="AD355" s="63"/>
      <c r="AE355" s="63"/>
      <c r="AF355" s="63"/>
      <c r="AG355" s="63"/>
      <c r="AH355" s="63"/>
      <c r="AI355" s="63"/>
    </row>
    <row r="356" spans="4:50" s="66" customFormat="1">
      <c r="D356" s="75"/>
      <c r="F356" s="63"/>
      <c r="G356" s="63"/>
      <c r="H356" s="63"/>
      <c r="I356" s="63"/>
      <c r="J356" s="63"/>
      <c r="K356" s="63"/>
      <c r="L356" s="63"/>
      <c r="M356" s="63"/>
      <c r="N356" s="63"/>
      <c r="O356" s="63"/>
      <c r="P356" s="63"/>
      <c r="Q356" s="63"/>
      <c r="R356" s="63"/>
      <c r="S356" s="63"/>
      <c r="T356" s="63"/>
      <c r="U356" s="63"/>
      <c r="V356" s="63"/>
      <c r="W356" s="63"/>
      <c r="X356" s="63"/>
      <c r="Y356" s="63"/>
      <c r="Z356" s="63"/>
      <c r="AA356" s="63"/>
      <c r="AB356" s="63"/>
      <c r="AC356" s="63"/>
      <c r="AD356" s="63"/>
      <c r="AE356" s="63"/>
      <c r="AF356" s="63"/>
      <c r="AG356" s="63"/>
      <c r="AH356" s="63"/>
      <c r="AI356" s="63"/>
    </row>
    <row r="357" spans="4:50" s="66" customFormat="1">
      <c r="D357" s="75"/>
      <c r="F357" s="63"/>
      <c r="G357" s="63"/>
      <c r="H357" s="63"/>
      <c r="I357" s="63"/>
      <c r="J357" s="63"/>
      <c r="K357" s="63"/>
      <c r="L357" s="63"/>
      <c r="M357" s="63"/>
      <c r="N357" s="63"/>
      <c r="O357" s="63"/>
      <c r="P357" s="63"/>
      <c r="Q357" s="63"/>
      <c r="R357" s="63"/>
      <c r="S357" s="63"/>
      <c r="T357" s="63"/>
      <c r="U357" s="63"/>
      <c r="V357" s="63"/>
      <c r="W357" s="63"/>
      <c r="X357" s="63"/>
      <c r="Y357" s="63"/>
      <c r="Z357" s="63"/>
      <c r="AA357" s="63"/>
      <c r="AB357" s="63"/>
      <c r="AC357" s="63"/>
      <c r="AD357" s="63"/>
      <c r="AE357" s="63"/>
      <c r="AF357" s="63"/>
      <c r="AG357" s="63"/>
      <c r="AH357" s="63"/>
      <c r="AI357" s="63"/>
    </row>
    <row r="358" spans="4:50" s="66" customFormat="1">
      <c r="D358" s="75"/>
      <c r="F358" s="63"/>
      <c r="G358" s="63"/>
      <c r="H358" s="63"/>
      <c r="I358" s="63"/>
      <c r="J358" s="63"/>
      <c r="K358" s="63"/>
      <c r="L358" s="63"/>
      <c r="M358" s="63"/>
      <c r="N358" s="63"/>
      <c r="O358" s="63"/>
      <c r="P358" s="63"/>
      <c r="Q358" s="63"/>
      <c r="R358" s="63"/>
      <c r="S358" s="63"/>
      <c r="T358" s="63"/>
      <c r="U358" s="63"/>
      <c r="V358" s="63"/>
      <c r="W358" s="63"/>
      <c r="X358" s="63"/>
      <c r="Y358" s="63"/>
      <c r="Z358" s="63"/>
      <c r="AA358" s="63"/>
      <c r="AB358" s="63"/>
      <c r="AC358" s="63"/>
      <c r="AD358" s="63"/>
      <c r="AE358" s="63"/>
      <c r="AF358" s="63"/>
      <c r="AG358" s="63"/>
      <c r="AH358" s="63"/>
      <c r="AI358" s="63"/>
    </row>
    <row r="359" spans="4:50" s="66" customFormat="1">
      <c r="D359" s="75"/>
      <c r="F359" s="63"/>
      <c r="G359" s="63"/>
      <c r="H359" s="63"/>
      <c r="I359" s="63"/>
      <c r="J359" s="63"/>
      <c r="K359" s="63"/>
      <c r="L359" s="63"/>
      <c r="M359" s="63"/>
      <c r="N359" s="63"/>
      <c r="O359" s="63"/>
      <c r="P359" s="63"/>
      <c r="Q359" s="63"/>
      <c r="R359" s="63"/>
      <c r="S359" s="63"/>
      <c r="T359" s="63"/>
      <c r="U359" s="63"/>
      <c r="V359" s="63"/>
      <c r="W359" s="63"/>
      <c r="X359" s="63"/>
      <c r="Y359" s="63"/>
      <c r="Z359" s="63"/>
      <c r="AA359" s="63"/>
      <c r="AB359" s="63"/>
      <c r="AC359" s="63"/>
      <c r="AD359" s="63"/>
      <c r="AE359" s="63"/>
      <c r="AF359" s="63"/>
      <c r="AG359" s="63"/>
      <c r="AH359" s="63"/>
      <c r="AI359" s="63"/>
      <c r="AN359" s="62"/>
      <c r="AO359" s="62"/>
      <c r="AP359" s="62"/>
      <c r="AQ359" s="62"/>
      <c r="AR359" s="62"/>
      <c r="AS359" s="62"/>
      <c r="AT359" s="62"/>
      <c r="AU359" s="62"/>
      <c r="AV359" s="62"/>
      <c r="AW359" s="62"/>
      <c r="AX359" s="62"/>
    </row>
    <row r="360" spans="4:50" s="66" customFormat="1">
      <c r="D360" s="75"/>
      <c r="F360" s="63"/>
      <c r="G360" s="63"/>
      <c r="H360" s="63"/>
      <c r="I360" s="63"/>
      <c r="J360" s="63"/>
      <c r="K360" s="63"/>
      <c r="L360" s="63"/>
      <c r="M360" s="63"/>
      <c r="N360" s="63"/>
      <c r="O360" s="63"/>
      <c r="P360" s="63"/>
      <c r="Q360" s="63"/>
      <c r="R360" s="63"/>
      <c r="S360" s="63"/>
      <c r="T360" s="63"/>
      <c r="U360" s="63"/>
      <c r="V360" s="63"/>
      <c r="W360" s="63"/>
      <c r="X360" s="63"/>
      <c r="Y360" s="63"/>
      <c r="Z360" s="63"/>
      <c r="AA360" s="63"/>
      <c r="AB360" s="63"/>
      <c r="AC360" s="63"/>
      <c r="AD360" s="63"/>
      <c r="AE360" s="63"/>
      <c r="AF360" s="63"/>
      <c r="AG360" s="63"/>
      <c r="AH360" s="63"/>
      <c r="AI360" s="63"/>
      <c r="AN360" s="62"/>
      <c r="AO360" s="62"/>
      <c r="AP360" s="62"/>
      <c r="AQ360" s="62"/>
      <c r="AR360" s="62"/>
      <c r="AS360" s="62"/>
      <c r="AT360" s="62"/>
      <c r="AU360" s="62"/>
      <c r="AV360" s="62"/>
      <c r="AW360" s="62"/>
      <c r="AX360" s="62"/>
    </row>
    <row r="361" spans="4:50" s="66" customFormat="1">
      <c r="D361" s="75"/>
      <c r="F361" s="63"/>
      <c r="G361" s="63"/>
      <c r="H361" s="63"/>
      <c r="I361" s="63"/>
      <c r="J361" s="63"/>
      <c r="K361" s="63"/>
      <c r="L361" s="63"/>
      <c r="M361" s="63"/>
      <c r="N361" s="63"/>
      <c r="O361" s="63"/>
      <c r="P361" s="63"/>
      <c r="Q361" s="63"/>
      <c r="R361" s="63"/>
      <c r="S361" s="63"/>
      <c r="T361" s="63"/>
      <c r="U361" s="63"/>
      <c r="V361" s="63"/>
      <c r="W361" s="63"/>
      <c r="X361" s="63"/>
      <c r="Y361" s="63"/>
      <c r="Z361" s="63"/>
      <c r="AA361" s="63"/>
      <c r="AB361" s="63"/>
      <c r="AC361" s="63"/>
      <c r="AD361" s="63"/>
      <c r="AE361" s="63"/>
      <c r="AF361" s="63"/>
      <c r="AG361" s="63"/>
      <c r="AH361" s="63"/>
      <c r="AI361" s="63"/>
      <c r="AN361" s="62"/>
      <c r="AO361" s="62"/>
      <c r="AP361" s="62"/>
      <c r="AQ361" s="62"/>
      <c r="AR361" s="62"/>
      <c r="AS361" s="62"/>
      <c r="AT361" s="62"/>
      <c r="AU361" s="62"/>
      <c r="AV361" s="62"/>
      <c r="AW361" s="62"/>
      <c r="AX361" s="62"/>
    </row>
    <row r="362" spans="4:50" s="66" customFormat="1">
      <c r="D362" s="75"/>
      <c r="F362" s="63"/>
      <c r="G362" s="63"/>
      <c r="H362" s="63"/>
      <c r="I362" s="63"/>
      <c r="J362" s="63"/>
      <c r="K362" s="63"/>
      <c r="L362" s="63"/>
      <c r="M362" s="63"/>
      <c r="N362" s="63"/>
      <c r="O362" s="63"/>
      <c r="P362" s="63"/>
      <c r="Q362" s="63"/>
      <c r="R362" s="63"/>
      <c r="S362" s="63"/>
      <c r="T362" s="63"/>
      <c r="U362" s="63"/>
      <c r="V362" s="63"/>
      <c r="W362" s="63"/>
      <c r="X362" s="63"/>
      <c r="Y362" s="63"/>
      <c r="Z362" s="63"/>
      <c r="AA362" s="63"/>
      <c r="AB362" s="63"/>
      <c r="AC362" s="63"/>
      <c r="AD362" s="63"/>
      <c r="AE362" s="63"/>
      <c r="AF362" s="63"/>
      <c r="AG362" s="63"/>
      <c r="AH362" s="63"/>
      <c r="AI362" s="63"/>
      <c r="AN362" s="62"/>
      <c r="AO362" s="62"/>
      <c r="AP362" s="62"/>
      <c r="AQ362" s="62"/>
      <c r="AR362" s="62"/>
      <c r="AS362" s="62"/>
      <c r="AT362" s="62"/>
      <c r="AU362" s="62"/>
      <c r="AV362" s="62"/>
      <c r="AW362" s="62"/>
      <c r="AX362" s="62"/>
    </row>
    <row r="363" spans="4:50" s="66" customFormat="1">
      <c r="D363" s="75"/>
      <c r="F363" s="63"/>
      <c r="G363" s="63"/>
      <c r="H363" s="63"/>
      <c r="I363" s="63"/>
      <c r="J363" s="63"/>
      <c r="K363" s="63"/>
      <c r="L363" s="63"/>
      <c r="M363" s="63"/>
      <c r="N363" s="63"/>
      <c r="O363" s="63"/>
      <c r="P363" s="63"/>
      <c r="Q363" s="63"/>
      <c r="R363" s="63"/>
      <c r="S363" s="63"/>
      <c r="T363" s="63"/>
      <c r="U363" s="63"/>
      <c r="V363" s="63"/>
      <c r="W363" s="63"/>
      <c r="X363" s="63"/>
      <c r="Y363" s="63"/>
      <c r="Z363" s="63"/>
      <c r="AA363" s="63"/>
      <c r="AB363" s="63"/>
      <c r="AC363" s="63"/>
      <c r="AD363" s="63"/>
      <c r="AE363" s="63"/>
      <c r="AF363" s="63"/>
      <c r="AG363" s="63"/>
      <c r="AH363" s="63"/>
      <c r="AI363" s="63"/>
      <c r="AN363" s="62"/>
      <c r="AO363" s="62"/>
      <c r="AP363" s="62"/>
      <c r="AQ363" s="62"/>
      <c r="AR363" s="62"/>
      <c r="AS363" s="62"/>
      <c r="AT363" s="62"/>
      <c r="AU363" s="62"/>
      <c r="AV363" s="62"/>
      <c r="AW363" s="62"/>
      <c r="AX363" s="62"/>
    </row>
    <row r="364" spans="4:50" s="66" customFormat="1">
      <c r="D364" s="75"/>
      <c r="F364" s="63"/>
      <c r="G364" s="63"/>
      <c r="H364" s="63"/>
      <c r="I364" s="63"/>
      <c r="J364" s="63"/>
      <c r="K364" s="63"/>
      <c r="L364" s="63"/>
      <c r="M364" s="63"/>
      <c r="N364" s="63"/>
      <c r="O364" s="63"/>
      <c r="P364" s="63"/>
      <c r="Q364" s="63"/>
      <c r="R364" s="63"/>
      <c r="S364" s="63"/>
      <c r="T364" s="63"/>
      <c r="U364" s="63"/>
      <c r="V364" s="63"/>
      <c r="W364" s="63"/>
      <c r="X364" s="63"/>
      <c r="Y364" s="63"/>
      <c r="Z364" s="63"/>
      <c r="AA364" s="63"/>
      <c r="AB364" s="63"/>
      <c r="AC364" s="63"/>
      <c r="AD364" s="63"/>
      <c r="AE364" s="63"/>
      <c r="AF364" s="63"/>
      <c r="AG364" s="63"/>
      <c r="AH364" s="63"/>
      <c r="AI364" s="63"/>
      <c r="AN364" s="62"/>
      <c r="AO364" s="62"/>
      <c r="AP364" s="62"/>
      <c r="AQ364" s="62"/>
      <c r="AR364" s="62"/>
      <c r="AS364" s="62"/>
      <c r="AT364" s="62"/>
      <c r="AU364" s="62"/>
      <c r="AV364" s="62"/>
      <c r="AW364" s="62"/>
      <c r="AX364" s="62"/>
    </row>
    <row r="365" spans="4:50" s="66" customFormat="1">
      <c r="D365" s="75"/>
      <c r="F365" s="63"/>
      <c r="G365" s="63"/>
      <c r="H365" s="63"/>
      <c r="I365" s="63"/>
      <c r="J365" s="63"/>
      <c r="K365" s="63"/>
      <c r="L365" s="63"/>
      <c r="M365" s="63"/>
      <c r="N365" s="63"/>
      <c r="O365" s="63"/>
      <c r="P365" s="63"/>
      <c r="Q365" s="63"/>
      <c r="R365" s="63"/>
      <c r="S365" s="63"/>
      <c r="T365" s="63"/>
      <c r="U365" s="63"/>
      <c r="V365" s="63"/>
      <c r="W365" s="63"/>
      <c r="X365" s="63"/>
      <c r="Y365" s="63"/>
      <c r="Z365" s="63"/>
      <c r="AA365" s="63"/>
      <c r="AB365" s="63"/>
      <c r="AC365" s="63"/>
      <c r="AD365" s="63"/>
      <c r="AE365" s="63"/>
      <c r="AF365" s="63"/>
      <c r="AG365" s="63"/>
      <c r="AH365" s="63"/>
      <c r="AI365" s="63"/>
      <c r="AN365" s="62"/>
      <c r="AO365" s="62"/>
      <c r="AP365" s="62"/>
      <c r="AQ365" s="62"/>
      <c r="AR365" s="62"/>
      <c r="AS365" s="62"/>
      <c r="AT365" s="62"/>
      <c r="AU365" s="62"/>
      <c r="AV365" s="62"/>
      <c r="AW365" s="62"/>
      <c r="AX365" s="62"/>
    </row>
    <row r="366" spans="4:50" s="66" customFormat="1">
      <c r="D366" s="75"/>
      <c r="F366" s="63"/>
      <c r="G366" s="63"/>
      <c r="H366" s="63"/>
      <c r="I366" s="63"/>
      <c r="J366" s="63"/>
      <c r="K366" s="63"/>
      <c r="L366" s="63"/>
      <c r="M366" s="63"/>
      <c r="N366" s="63"/>
      <c r="O366" s="63"/>
      <c r="P366" s="63"/>
      <c r="Q366" s="63"/>
      <c r="R366" s="63"/>
      <c r="S366" s="63"/>
      <c r="T366" s="63"/>
      <c r="U366" s="63"/>
      <c r="V366" s="63"/>
      <c r="W366" s="63"/>
      <c r="X366" s="63"/>
      <c r="Y366" s="63"/>
      <c r="Z366" s="63"/>
      <c r="AA366" s="63"/>
      <c r="AB366" s="63"/>
      <c r="AC366" s="63"/>
      <c r="AD366" s="63"/>
      <c r="AE366" s="63"/>
      <c r="AF366" s="63"/>
      <c r="AG366" s="63"/>
      <c r="AH366" s="63"/>
      <c r="AI366" s="63"/>
      <c r="AN366" s="62"/>
      <c r="AO366" s="62"/>
      <c r="AP366" s="62"/>
      <c r="AQ366" s="62"/>
      <c r="AR366" s="62"/>
      <c r="AS366" s="62"/>
      <c r="AT366" s="62"/>
      <c r="AU366" s="62"/>
      <c r="AV366" s="62"/>
      <c r="AW366" s="62"/>
      <c r="AX366" s="62"/>
    </row>
    <row r="367" spans="4:50" s="66" customFormat="1">
      <c r="D367" s="75"/>
      <c r="F367" s="63"/>
      <c r="G367" s="63"/>
      <c r="H367" s="63"/>
      <c r="I367" s="63"/>
      <c r="J367" s="63"/>
      <c r="K367" s="63"/>
      <c r="L367" s="63"/>
      <c r="M367" s="63"/>
      <c r="N367" s="63"/>
      <c r="O367" s="63"/>
      <c r="P367" s="63"/>
      <c r="Q367" s="63"/>
      <c r="R367" s="63"/>
      <c r="S367" s="63"/>
      <c r="T367" s="63"/>
      <c r="U367" s="63"/>
      <c r="V367" s="63"/>
      <c r="W367" s="63"/>
      <c r="X367" s="63"/>
      <c r="Y367" s="63"/>
      <c r="Z367" s="63"/>
      <c r="AA367" s="63"/>
      <c r="AB367" s="63"/>
      <c r="AC367" s="63"/>
      <c r="AD367" s="63"/>
      <c r="AE367" s="63"/>
      <c r="AF367" s="63"/>
      <c r="AG367" s="63"/>
      <c r="AH367" s="63"/>
      <c r="AI367" s="63"/>
      <c r="AN367" s="62"/>
      <c r="AO367" s="62"/>
      <c r="AP367" s="62"/>
      <c r="AQ367" s="62"/>
      <c r="AR367" s="62"/>
      <c r="AS367" s="62"/>
      <c r="AT367" s="62"/>
      <c r="AU367" s="62"/>
      <c r="AV367" s="62"/>
      <c r="AW367" s="62"/>
      <c r="AX367" s="62"/>
    </row>
    <row r="368" spans="4:50" s="66" customFormat="1">
      <c r="D368" s="75"/>
      <c r="F368" s="63"/>
      <c r="G368" s="63"/>
      <c r="H368" s="63"/>
      <c r="I368" s="63"/>
      <c r="J368" s="63"/>
      <c r="K368" s="63"/>
      <c r="L368" s="63"/>
      <c r="M368" s="63"/>
      <c r="N368" s="63"/>
      <c r="O368" s="63"/>
      <c r="P368" s="63"/>
      <c r="Q368" s="63"/>
      <c r="R368" s="63"/>
      <c r="S368" s="63"/>
      <c r="T368" s="63"/>
      <c r="U368" s="63"/>
      <c r="V368" s="63"/>
      <c r="W368" s="63"/>
      <c r="X368" s="63"/>
      <c r="Y368" s="63"/>
      <c r="Z368" s="63"/>
      <c r="AA368" s="63"/>
      <c r="AB368" s="63"/>
      <c r="AC368" s="63"/>
      <c r="AD368" s="63"/>
      <c r="AE368" s="63"/>
      <c r="AF368" s="63"/>
      <c r="AG368" s="63"/>
      <c r="AH368" s="63"/>
      <c r="AI368" s="63"/>
      <c r="AN368" s="62"/>
      <c r="AO368" s="62"/>
      <c r="AP368" s="62"/>
      <c r="AQ368" s="62"/>
      <c r="AR368" s="62"/>
      <c r="AS368" s="62"/>
      <c r="AT368" s="62"/>
      <c r="AU368" s="62"/>
      <c r="AV368" s="62"/>
      <c r="AW368" s="62"/>
      <c r="AX368" s="62"/>
    </row>
    <row r="369" spans="4:50" s="66" customFormat="1">
      <c r="D369" s="75"/>
      <c r="F369" s="63"/>
      <c r="G369" s="63"/>
      <c r="H369" s="63"/>
      <c r="I369" s="63"/>
      <c r="J369" s="63"/>
      <c r="K369" s="63"/>
      <c r="L369" s="63"/>
      <c r="M369" s="63"/>
      <c r="N369" s="63"/>
      <c r="O369" s="63"/>
      <c r="P369" s="63"/>
      <c r="Q369" s="63"/>
      <c r="R369" s="63"/>
      <c r="S369" s="63"/>
      <c r="T369" s="63"/>
      <c r="U369" s="63"/>
      <c r="V369" s="63"/>
      <c r="W369" s="63"/>
      <c r="X369" s="63"/>
      <c r="Y369" s="63"/>
      <c r="Z369" s="63"/>
      <c r="AA369" s="63"/>
      <c r="AB369" s="63"/>
      <c r="AC369" s="63"/>
      <c r="AD369" s="63"/>
      <c r="AE369" s="63"/>
      <c r="AF369" s="63"/>
      <c r="AG369" s="63"/>
      <c r="AH369" s="63"/>
      <c r="AI369" s="63"/>
      <c r="AN369" s="62"/>
      <c r="AO369" s="62"/>
      <c r="AP369" s="62"/>
      <c r="AQ369" s="62"/>
      <c r="AR369" s="62"/>
      <c r="AS369" s="62"/>
      <c r="AT369" s="62"/>
      <c r="AU369" s="62"/>
      <c r="AV369" s="62"/>
      <c r="AW369" s="62"/>
      <c r="AX369" s="62"/>
    </row>
    <row r="370" spans="4:50" s="66" customFormat="1">
      <c r="D370" s="75"/>
      <c r="F370" s="63"/>
      <c r="G370" s="63"/>
      <c r="H370" s="63"/>
      <c r="I370" s="63"/>
      <c r="J370" s="63"/>
      <c r="K370" s="63"/>
      <c r="L370" s="63"/>
      <c r="M370" s="63"/>
      <c r="N370" s="63"/>
      <c r="O370" s="63"/>
      <c r="P370" s="63"/>
      <c r="Q370" s="63"/>
      <c r="R370" s="63"/>
      <c r="S370" s="63"/>
      <c r="T370" s="63"/>
      <c r="U370" s="63"/>
      <c r="V370" s="63"/>
      <c r="W370" s="63"/>
      <c r="X370" s="63"/>
      <c r="Y370" s="63"/>
      <c r="Z370" s="63"/>
      <c r="AA370" s="63"/>
      <c r="AB370" s="63"/>
      <c r="AC370" s="63"/>
      <c r="AD370" s="63"/>
      <c r="AE370" s="63"/>
      <c r="AF370" s="63"/>
      <c r="AG370" s="63"/>
      <c r="AH370" s="63"/>
      <c r="AI370" s="63"/>
      <c r="AN370" s="62"/>
      <c r="AO370" s="62"/>
      <c r="AP370" s="62"/>
      <c r="AQ370" s="62"/>
      <c r="AR370" s="62"/>
      <c r="AS370" s="62"/>
      <c r="AT370" s="62"/>
      <c r="AU370" s="62"/>
      <c r="AV370" s="62"/>
      <c r="AW370" s="62"/>
      <c r="AX370" s="62"/>
    </row>
    <row r="371" spans="4:50" s="66" customFormat="1">
      <c r="D371" s="75"/>
      <c r="F371" s="63"/>
      <c r="G371" s="63"/>
      <c r="H371" s="63"/>
      <c r="I371" s="63"/>
      <c r="J371" s="63"/>
      <c r="K371" s="63"/>
      <c r="L371" s="63"/>
      <c r="M371" s="63"/>
      <c r="N371" s="63"/>
      <c r="O371" s="63"/>
      <c r="P371" s="63"/>
      <c r="Q371" s="63"/>
      <c r="R371" s="63"/>
      <c r="S371" s="63"/>
      <c r="T371" s="63"/>
      <c r="U371" s="63"/>
      <c r="V371" s="63"/>
      <c r="W371" s="63"/>
      <c r="X371" s="63"/>
      <c r="Y371" s="63"/>
      <c r="Z371" s="63"/>
      <c r="AA371" s="63"/>
      <c r="AB371" s="63"/>
      <c r="AC371" s="63"/>
      <c r="AD371" s="63"/>
      <c r="AE371" s="63"/>
      <c r="AF371" s="63"/>
      <c r="AG371" s="63"/>
      <c r="AH371" s="63"/>
      <c r="AI371" s="63"/>
      <c r="AN371" s="62"/>
      <c r="AO371" s="62"/>
      <c r="AP371" s="62"/>
      <c r="AQ371" s="62"/>
      <c r="AR371" s="62"/>
      <c r="AS371" s="62"/>
      <c r="AT371" s="62"/>
      <c r="AU371" s="62"/>
      <c r="AV371" s="62"/>
      <c r="AW371" s="62"/>
      <c r="AX371" s="62"/>
    </row>
    <row r="372" spans="4:50" s="66" customFormat="1">
      <c r="D372" s="75"/>
      <c r="F372" s="63"/>
      <c r="G372" s="63"/>
      <c r="H372" s="63"/>
      <c r="I372" s="63"/>
      <c r="J372" s="63"/>
      <c r="K372" s="63"/>
      <c r="L372" s="63"/>
      <c r="M372" s="63"/>
      <c r="N372" s="63"/>
      <c r="O372" s="63"/>
      <c r="P372" s="63"/>
      <c r="Q372" s="63"/>
      <c r="R372" s="63"/>
      <c r="S372" s="63"/>
      <c r="T372" s="63"/>
      <c r="U372" s="63"/>
      <c r="V372" s="63"/>
      <c r="W372" s="63"/>
      <c r="X372" s="63"/>
      <c r="Y372" s="63"/>
      <c r="Z372" s="63"/>
      <c r="AA372" s="63"/>
      <c r="AB372" s="63"/>
      <c r="AC372" s="63"/>
      <c r="AD372" s="63"/>
      <c r="AE372" s="63"/>
      <c r="AF372" s="63"/>
      <c r="AG372" s="63"/>
      <c r="AH372" s="63"/>
      <c r="AI372" s="63"/>
    </row>
    <row r="373" spans="4:50" s="66" customFormat="1">
      <c r="D373" s="75"/>
      <c r="F373" s="63"/>
      <c r="G373" s="63"/>
      <c r="H373" s="63"/>
      <c r="I373" s="63"/>
      <c r="J373" s="63"/>
      <c r="K373" s="63"/>
      <c r="L373" s="63"/>
      <c r="M373" s="63"/>
      <c r="N373" s="63"/>
      <c r="O373" s="63"/>
      <c r="P373" s="63"/>
      <c r="Q373" s="63"/>
      <c r="R373" s="63"/>
      <c r="S373" s="63"/>
      <c r="T373" s="63"/>
      <c r="U373" s="63"/>
      <c r="V373" s="63"/>
      <c r="W373" s="63"/>
      <c r="X373" s="63"/>
      <c r="Y373" s="63"/>
      <c r="Z373" s="63"/>
      <c r="AA373" s="63"/>
      <c r="AB373" s="63"/>
      <c r="AC373" s="63"/>
      <c r="AD373" s="63"/>
      <c r="AE373" s="63"/>
      <c r="AF373" s="63"/>
      <c r="AG373" s="63"/>
      <c r="AH373" s="63"/>
      <c r="AI373" s="63"/>
    </row>
    <row r="374" spans="4:50" s="66" customFormat="1">
      <c r="D374" s="75"/>
      <c r="F374" s="63"/>
      <c r="G374" s="63"/>
      <c r="H374" s="63"/>
      <c r="I374" s="63"/>
      <c r="J374" s="63"/>
      <c r="K374" s="63"/>
      <c r="L374" s="63"/>
      <c r="M374" s="63"/>
      <c r="N374" s="63"/>
      <c r="O374" s="63"/>
      <c r="P374" s="63"/>
      <c r="Q374" s="63"/>
      <c r="R374" s="63"/>
      <c r="S374" s="63"/>
      <c r="T374" s="63"/>
      <c r="U374" s="63"/>
      <c r="V374" s="63"/>
      <c r="W374" s="63"/>
      <c r="X374" s="63"/>
      <c r="Y374" s="63"/>
      <c r="Z374" s="63"/>
      <c r="AA374" s="63"/>
      <c r="AB374" s="63"/>
      <c r="AC374" s="63"/>
      <c r="AD374" s="63"/>
      <c r="AE374" s="63"/>
      <c r="AF374" s="63"/>
      <c r="AG374" s="63"/>
      <c r="AH374" s="63"/>
      <c r="AI374" s="63"/>
    </row>
    <row r="375" spans="4:50" s="66" customFormat="1">
      <c r="D375" s="75"/>
      <c r="F375" s="63"/>
      <c r="G375" s="63"/>
      <c r="H375" s="63"/>
      <c r="I375" s="63"/>
      <c r="J375" s="63"/>
      <c r="K375" s="63"/>
      <c r="L375" s="63"/>
      <c r="M375" s="63"/>
      <c r="N375" s="63"/>
      <c r="O375" s="63"/>
      <c r="P375" s="63"/>
      <c r="Q375" s="63"/>
      <c r="R375" s="63"/>
      <c r="S375" s="63"/>
      <c r="T375" s="63"/>
      <c r="U375" s="63"/>
      <c r="V375" s="63"/>
      <c r="W375" s="63"/>
      <c r="X375" s="63"/>
      <c r="Y375" s="63"/>
      <c r="Z375" s="63"/>
      <c r="AA375" s="63"/>
      <c r="AB375" s="63"/>
      <c r="AC375" s="63"/>
      <c r="AD375" s="63"/>
      <c r="AE375" s="63"/>
      <c r="AF375" s="63"/>
      <c r="AG375" s="63"/>
      <c r="AH375" s="63"/>
      <c r="AI375" s="63"/>
    </row>
    <row r="376" spans="4:50" s="66" customFormat="1">
      <c r="D376" s="75"/>
      <c r="F376" s="63"/>
      <c r="G376" s="63"/>
      <c r="H376" s="63"/>
      <c r="I376" s="63"/>
      <c r="J376" s="63"/>
      <c r="K376" s="63"/>
      <c r="L376" s="63"/>
      <c r="M376" s="63"/>
      <c r="N376" s="63"/>
      <c r="O376" s="63"/>
      <c r="P376" s="63"/>
      <c r="Q376" s="63"/>
      <c r="R376" s="63"/>
      <c r="S376" s="63"/>
      <c r="T376" s="63"/>
      <c r="U376" s="63"/>
      <c r="V376" s="63"/>
      <c r="W376" s="63"/>
      <c r="X376" s="63"/>
      <c r="Y376" s="63"/>
      <c r="Z376" s="63"/>
      <c r="AA376" s="63"/>
      <c r="AB376" s="63"/>
      <c r="AC376" s="63"/>
      <c r="AD376" s="63"/>
      <c r="AE376" s="63"/>
      <c r="AF376" s="63"/>
      <c r="AG376" s="63"/>
      <c r="AH376" s="63"/>
      <c r="AI376" s="63"/>
    </row>
    <row r="377" spans="4:50" s="66" customFormat="1">
      <c r="D377" s="75"/>
      <c r="F377" s="63"/>
      <c r="G377" s="63"/>
      <c r="H377" s="63"/>
      <c r="I377" s="63"/>
      <c r="J377" s="63"/>
      <c r="K377" s="63"/>
      <c r="L377" s="63"/>
      <c r="M377" s="63"/>
      <c r="N377" s="63"/>
      <c r="O377" s="63"/>
      <c r="P377" s="63"/>
      <c r="Q377" s="63"/>
      <c r="R377" s="63"/>
      <c r="S377" s="63"/>
      <c r="T377" s="63"/>
      <c r="U377" s="63"/>
      <c r="V377" s="63"/>
      <c r="W377" s="63"/>
      <c r="X377" s="63"/>
      <c r="Y377" s="63"/>
      <c r="Z377" s="63"/>
      <c r="AA377" s="63"/>
      <c r="AB377" s="63"/>
      <c r="AC377" s="63"/>
      <c r="AD377" s="63"/>
      <c r="AE377" s="63"/>
      <c r="AF377" s="63"/>
      <c r="AG377" s="63"/>
      <c r="AH377" s="63"/>
      <c r="AI377" s="63"/>
    </row>
    <row r="378" spans="4:50" s="66" customFormat="1">
      <c r="D378" s="75"/>
      <c r="F378" s="63"/>
      <c r="G378" s="63"/>
      <c r="H378" s="63"/>
      <c r="I378" s="63"/>
      <c r="J378" s="63"/>
      <c r="K378" s="63"/>
      <c r="L378" s="63"/>
      <c r="M378" s="63"/>
      <c r="N378" s="63"/>
      <c r="O378" s="63"/>
      <c r="P378" s="63"/>
      <c r="Q378" s="63"/>
      <c r="R378" s="63"/>
      <c r="S378" s="63"/>
      <c r="T378" s="63"/>
      <c r="U378" s="63"/>
      <c r="V378" s="63"/>
      <c r="W378" s="63"/>
      <c r="X378" s="63"/>
      <c r="Y378" s="63"/>
      <c r="Z378" s="63"/>
      <c r="AA378" s="63"/>
      <c r="AB378" s="63"/>
      <c r="AC378" s="63"/>
      <c r="AD378" s="63"/>
      <c r="AE378" s="63"/>
      <c r="AF378" s="63"/>
      <c r="AG378" s="63"/>
      <c r="AH378" s="63"/>
      <c r="AI378" s="63"/>
    </row>
    <row r="379" spans="4:50" s="66" customFormat="1">
      <c r="D379" s="75"/>
      <c r="F379" s="63"/>
      <c r="G379" s="63"/>
      <c r="H379" s="63"/>
      <c r="I379" s="63"/>
      <c r="J379" s="63"/>
      <c r="K379" s="63"/>
      <c r="L379" s="63"/>
      <c r="M379" s="63"/>
      <c r="N379" s="63"/>
      <c r="O379" s="63"/>
      <c r="P379" s="63"/>
      <c r="Q379" s="63"/>
      <c r="R379" s="63"/>
      <c r="S379" s="63"/>
      <c r="T379" s="63"/>
      <c r="U379" s="63"/>
      <c r="V379" s="63"/>
      <c r="W379" s="63"/>
      <c r="X379" s="63"/>
      <c r="Y379" s="63"/>
      <c r="Z379" s="63"/>
      <c r="AA379" s="63"/>
      <c r="AB379" s="63"/>
      <c r="AC379" s="63"/>
      <c r="AD379" s="63"/>
      <c r="AE379" s="63"/>
      <c r="AF379" s="63"/>
      <c r="AG379" s="63"/>
      <c r="AH379" s="63"/>
      <c r="AI379" s="63"/>
    </row>
    <row r="380" spans="4:50" s="66" customFormat="1">
      <c r="D380" s="75"/>
      <c r="F380" s="63"/>
      <c r="G380" s="63"/>
      <c r="H380" s="63"/>
      <c r="I380" s="63"/>
      <c r="J380" s="63"/>
      <c r="K380" s="63"/>
      <c r="L380" s="63"/>
      <c r="M380" s="63"/>
      <c r="N380" s="63"/>
      <c r="O380" s="63"/>
      <c r="P380" s="63"/>
      <c r="Q380" s="63"/>
      <c r="R380" s="63"/>
      <c r="S380" s="63"/>
      <c r="T380" s="63"/>
      <c r="U380" s="63"/>
      <c r="V380" s="63"/>
      <c r="W380" s="63"/>
      <c r="X380" s="63"/>
      <c r="Y380" s="63"/>
      <c r="Z380" s="63"/>
      <c r="AA380" s="63"/>
      <c r="AB380" s="63"/>
      <c r="AC380" s="63"/>
      <c r="AD380" s="63"/>
      <c r="AE380" s="63"/>
      <c r="AF380" s="63"/>
      <c r="AG380" s="63"/>
      <c r="AH380" s="63"/>
      <c r="AI380" s="63"/>
    </row>
    <row r="381" spans="4:50" s="66" customFormat="1">
      <c r="D381" s="75"/>
      <c r="F381" s="63"/>
      <c r="G381" s="63"/>
      <c r="H381" s="63"/>
      <c r="I381" s="63"/>
      <c r="J381" s="63"/>
      <c r="K381" s="63"/>
      <c r="L381" s="63"/>
      <c r="M381" s="63"/>
      <c r="N381" s="63"/>
      <c r="O381" s="63"/>
      <c r="P381" s="63"/>
      <c r="Q381" s="63"/>
      <c r="R381" s="63"/>
      <c r="S381" s="63"/>
      <c r="T381" s="63"/>
      <c r="U381" s="63"/>
      <c r="V381" s="63"/>
      <c r="W381" s="63"/>
      <c r="X381" s="63"/>
      <c r="Y381" s="63"/>
      <c r="Z381" s="63"/>
      <c r="AA381" s="63"/>
      <c r="AB381" s="63"/>
      <c r="AC381" s="63"/>
      <c r="AD381" s="63"/>
      <c r="AE381" s="63"/>
      <c r="AF381" s="63"/>
      <c r="AG381" s="63"/>
      <c r="AH381" s="63"/>
      <c r="AI381" s="63"/>
    </row>
    <row r="382" spans="4:50" s="66" customFormat="1">
      <c r="D382" s="75"/>
      <c r="F382" s="63"/>
      <c r="G382" s="63"/>
      <c r="H382" s="63"/>
      <c r="I382" s="63"/>
      <c r="J382" s="63"/>
      <c r="K382" s="63"/>
      <c r="L382" s="63"/>
      <c r="M382" s="63"/>
      <c r="N382" s="63"/>
      <c r="O382" s="63"/>
      <c r="P382" s="63"/>
      <c r="Q382" s="63"/>
      <c r="R382" s="63"/>
      <c r="S382" s="63"/>
      <c r="T382" s="63"/>
      <c r="U382" s="63"/>
      <c r="V382" s="63"/>
      <c r="W382" s="63"/>
      <c r="X382" s="63"/>
      <c r="Y382" s="63"/>
      <c r="Z382" s="63"/>
      <c r="AA382" s="63"/>
      <c r="AB382" s="63"/>
      <c r="AC382" s="63"/>
      <c r="AD382" s="63"/>
      <c r="AE382" s="63"/>
      <c r="AF382" s="63"/>
      <c r="AG382" s="63"/>
      <c r="AH382" s="63"/>
      <c r="AI382" s="63"/>
    </row>
    <row r="383" spans="4:50" s="66" customFormat="1">
      <c r="D383" s="75"/>
      <c r="F383" s="63"/>
      <c r="G383" s="63"/>
      <c r="H383" s="63"/>
      <c r="I383" s="63"/>
      <c r="J383" s="63"/>
      <c r="K383" s="63"/>
      <c r="L383" s="63"/>
      <c r="M383" s="63"/>
      <c r="N383" s="63"/>
      <c r="O383" s="63"/>
      <c r="P383" s="63"/>
      <c r="Q383" s="63"/>
      <c r="R383" s="63"/>
      <c r="S383" s="63"/>
      <c r="T383" s="63"/>
      <c r="U383" s="63"/>
      <c r="V383" s="63"/>
      <c r="W383" s="63"/>
      <c r="X383" s="63"/>
      <c r="Y383" s="63"/>
      <c r="Z383" s="63"/>
      <c r="AA383" s="63"/>
      <c r="AB383" s="63"/>
      <c r="AC383" s="63"/>
      <c r="AD383" s="63"/>
      <c r="AE383" s="63"/>
      <c r="AF383" s="63"/>
      <c r="AG383" s="63"/>
      <c r="AH383" s="63"/>
      <c r="AI383" s="63"/>
    </row>
    <row r="384" spans="4:50" s="66" customFormat="1">
      <c r="D384" s="75"/>
      <c r="F384" s="63"/>
      <c r="G384" s="63"/>
      <c r="H384" s="63"/>
      <c r="I384" s="63"/>
      <c r="J384" s="63"/>
      <c r="K384" s="63"/>
      <c r="L384" s="63"/>
      <c r="M384" s="63"/>
      <c r="N384" s="63"/>
      <c r="O384" s="63"/>
      <c r="P384" s="63"/>
      <c r="Q384" s="63"/>
      <c r="R384" s="63"/>
      <c r="S384" s="63"/>
      <c r="T384" s="63"/>
      <c r="U384" s="63"/>
      <c r="V384" s="63"/>
      <c r="W384" s="63"/>
      <c r="X384" s="63"/>
      <c r="Y384" s="63"/>
      <c r="Z384" s="63"/>
      <c r="AA384" s="63"/>
      <c r="AB384" s="63"/>
      <c r="AC384" s="63"/>
      <c r="AD384" s="63"/>
      <c r="AE384" s="63"/>
      <c r="AF384" s="63"/>
      <c r="AG384" s="63"/>
      <c r="AH384" s="63"/>
      <c r="AI384" s="63"/>
    </row>
    <row r="385" spans="4:35" s="66" customFormat="1">
      <c r="D385" s="75"/>
      <c r="F385" s="63"/>
      <c r="G385" s="63"/>
      <c r="H385" s="63"/>
      <c r="I385" s="63"/>
      <c r="J385" s="63"/>
      <c r="K385" s="63"/>
      <c r="L385" s="63"/>
      <c r="M385" s="63"/>
      <c r="N385" s="63"/>
      <c r="O385" s="63"/>
      <c r="P385" s="63"/>
      <c r="Q385" s="63"/>
      <c r="R385" s="63"/>
      <c r="S385" s="63"/>
      <c r="T385" s="63"/>
      <c r="U385" s="63"/>
      <c r="V385" s="63"/>
      <c r="W385" s="63"/>
      <c r="X385" s="63"/>
      <c r="Y385" s="63"/>
      <c r="Z385" s="63"/>
      <c r="AA385" s="63"/>
      <c r="AB385" s="63"/>
      <c r="AC385" s="63"/>
      <c r="AD385" s="63"/>
      <c r="AE385" s="63"/>
      <c r="AF385" s="63"/>
      <c r="AG385" s="63"/>
      <c r="AH385" s="63"/>
      <c r="AI385" s="63"/>
    </row>
    <row r="386" spans="4:35" s="66" customFormat="1">
      <c r="D386" s="75"/>
      <c r="F386" s="63"/>
      <c r="G386" s="63"/>
      <c r="H386" s="63"/>
      <c r="I386" s="63"/>
      <c r="J386" s="63"/>
      <c r="K386" s="63"/>
      <c r="L386" s="63"/>
      <c r="M386" s="63"/>
      <c r="N386" s="63"/>
      <c r="O386" s="63"/>
      <c r="P386" s="63"/>
      <c r="Q386" s="63"/>
      <c r="R386" s="63"/>
      <c r="S386" s="63"/>
      <c r="T386" s="63"/>
      <c r="U386" s="63"/>
      <c r="V386" s="63"/>
      <c r="W386" s="63"/>
      <c r="X386" s="63"/>
      <c r="Y386" s="63"/>
      <c r="Z386" s="63"/>
      <c r="AA386" s="63"/>
      <c r="AB386" s="63"/>
      <c r="AC386" s="63"/>
      <c r="AD386" s="63"/>
      <c r="AE386" s="63"/>
      <c r="AF386" s="63"/>
      <c r="AG386" s="63"/>
      <c r="AH386" s="63"/>
      <c r="AI386" s="63"/>
    </row>
    <row r="387" spans="4:35" s="66" customFormat="1">
      <c r="D387" s="75"/>
      <c r="F387" s="63"/>
      <c r="G387" s="63"/>
      <c r="H387" s="63"/>
      <c r="I387" s="63"/>
      <c r="J387" s="63"/>
      <c r="K387" s="63"/>
      <c r="L387" s="63"/>
      <c r="M387" s="63"/>
      <c r="N387" s="63"/>
      <c r="O387" s="63"/>
      <c r="P387" s="63"/>
      <c r="Q387" s="63"/>
      <c r="R387" s="63"/>
      <c r="S387" s="63"/>
      <c r="T387" s="63"/>
      <c r="U387" s="63"/>
      <c r="V387" s="63"/>
      <c r="W387" s="63"/>
      <c r="X387" s="63"/>
      <c r="Y387" s="63"/>
      <c r="Z387" s="63"/>
      <c r="AA387" s="63"/>
      <c r="AB387" s="63"/>
      <c r="AC387" s="63"/>
      <c r="AD387" s="63"/>
      <c r="AE387" s="63"/>
      <c r="AF387" s="63"/>
      <c r="AG387" s="63"/>
      <c r="AH387" s="63"/>
      <c r="AI387" s="63"/>
    </row>
    <row r="388" spans="4:35" s="66" customFormat="1">
      <c r="D388" s="75"/>
      <c r="F388" s="63"/>
      <c r="G388" s="63"/>
      <c r="H388" s="63"/>
      <c r="I388" s="63"/>
      <c r="J388" s="63"/>
      <c r="K388" s="63"/>
      <c r="L388" s="63"/>
      <c r="M388" s="63"/>
      <c r="N388" s="63"/>
      <c r="O388" s="63"/>
      <c r="P388" s="63"/>
      <c r="Q388" s="63"/>
      <c r="R388" s="63"/>
      <c r="S388" s="63"/>
      <c r="T388" s="63"/>
      <c r="U388" s="63"/>
      <c r="V388" s="63"/>
      <c r="W388" s="63"/>
      <c r="X388" s="63"/>
      <c r="Y388" s="63"/>
      <c r="Z388" s="63"/>
      <c r="AA388" s="63"/>
      <c r="AB388" s="63"/>
      <c r="AC388" s="63"/>
      <c r="AD388" s="63"/>
      <c r="AE388" s="63"/>
      <c r="AF388" s="63"/>
      <c r="AG388" s="63"/>
      <c r="AH388" s="63"/>
      <c r="AI388" s="63"/>
    </row>
    <row r="389" spans="4:35" s="66" customFormat="1">
      <c r="D389" s="75"/>
      <c r="F389" s="63"/>
      <c r="G389" s="63"/>
      <c r="H389" s="63"/>
      <c r="I389" s="63"/>
      <c r="J389" s="63"/>
      <c r="K389" s="63"/>
      <c r="L389" s="63"/>
      <c r="M389" s="63"/>
      <c r="N389" s="63"/>
      <c r="O389" s="63"/>
      <c r="P389" s="63"/>
      <c r="Q389" s="63"/>
      <c r="R389" s="63"/>
      <c r="S389" s="63"/>
      <c r="T389" s="63"/>
      <c r="U389" s="63"/>
      <c r="V389" s="63"/>
      <c r="W389" s="63"/>
      <c r="X389" s="63"/>
      <c r="Y389" s="63"/>
      <c r="Z389" s="63"/>
      <c r="AA389" s="63"/>
      <c r="AB389" s="63"/>
      <c r="AC389" s="63"/>
      <c r="AD389" s="63"/>
      <c r="AE389" s="63"/>
      <c r="AF389" s="63"/>
      <c r="AG389" s="63"/>
      <c r="AH389" s="63"/>
      <c r="AI389" s="63"/>
    </row>
    <row r="390" spans="4:35" s="66" customFormat="1">
      <c r="D390" s="75"/>
      <c r="F390" s="63"/>
      <c r="G390" s="63"/>
      <c r="H390" s="63"/>
      <c r="I390" s="63"/>
      <c r="J390" s="63"/>
      <c r="K390" s="63"/>
      <c r="L390" s="63"/>
      <c r="M390" s="63"/>
      <c r="N390" s="63"/>
      <c r="O390" s="63"/>
      <c r="P390" s="63"/>
      <c r="Q390" s="63"/>
      <c r="R390" s="63"/>
      <c r="S390" s="63"/>
      <c r="T390" s="63"/>
      <c r="U390" s="63"/>
      <c r="V390" s="63"/>
      <c r="W390" s="63"/>
      <c r="X390" s="63"/>
      <c r="Y390" s="63"/>
      <c r="Z390" s="63"/>
      <c r="AA390" s="63"/>
      <c r="AB390" s="63"/>
      <c r="AC390" s="63"/>
      <c r="AD390" s="63"/>
      <c r="AE390" s="63"/>
      <c r="AF390" s="63"/>
      <c r="AG390" s="63"/>
      <c r="AH390" s="63"/>
      <c r="AI390" s="63"/>
    </row>
    <row r="391" spans="4:35" s="66" customFormat="1">
      <c r="D391" s="75"/>
      <c r="F391" s="63"/>
      <c r="G391" s="63"/>
      <c r="H391" s="63"/>
      <c r="I391" s="63"/>
      <c r="J391" s="63"/>
      <c r="K391" s="63"/>
      <c r="L391" s="63"/>
      <c r="M391" s="63"/>
      <c r="N391" s="63"/>
      <c r="O391" s="63"/>
      <c r="P391" s="63"/>
      <c r="Q391" s="63"/>
      <c r="R391" s="63"/>
      <c r="S391" s="63"/>
      <c r="T391" s="63"/>
      <c r="U391" s="63"/>
      <c r="V391" s="63"/>
      <c r="W391" s="63"/>
      <c r="X391" s="63"/>
      <c r="Y391" s="63"/>
      <c r="Z391" s="63"/>
      <c r="AA391" s="63"/>
      <c r="AB391" s="63"/>
      <c r="AC391" s="63"/>
      <c r="AD391" s="63"/>
      <c r="AE391" s="63"/>
      <c r="AF391" s="63"/>
      <c r="AG391" s="63"/>
      <c r="AH391" s="63"/>
      <c r="AI391" s="63"/>
    </row>
    <row r="392" spans="4:35" s="66" customFormat="1">
      <c r="D392" s="75"/>
      <c r="F392" s="63"/>
      <c r="G392" s="63"/>
      <c r="H392" s="63"/>
      <c r="I392" s="63"/>
      <c r="J392" s="63"/>
      <c r="K392" s="63"/>
      <c r="L392" s="63"/>
      <c r="M392" s="63"/>
      <c r="N392" s="63"/>
      <c r="O392" s="63"/>
      <c r="P392" s="63"/>
      <c r="Q392" s="63"/>
      <c r="R392" s="63"/>
      <c r="S392" s="63"/>
      <c r="T392" s="63"/>
      <c r="U392" s="63"/>
      <c r="V392" s="63"/>
      <c r="W392" s="63"/>
      <c r="X392" s="63"/>
      <c r="Y392" s="63"/>
      <c r="Z392" s="63"/>
      <c r="AA392" s="63"/>
      <c r="AB392" s="63"/>
      <c r="AC392" s="63"/>
      <c r="AD392" s="63"/>
      <c r="AE392" s="63"/>
      <c r="AF392" s="63"/>
      <c r="AG392" s="63"/>
      <c r="AH392" s="63"/>
      <c r="AI392" s="63"/>
    </row>
    <row r="393" spans="4:35" s="66" customFormat="1">
      <c r="D393" s="75"/>
      <c r="F393" s="63"/>
      <c r="G393" s="63"/>
      <c r="H393" s="63"/>
      <c r="I393" s="63"/>
      <c r="J393" s="63"/>
      <c r="K393" s="63"/>
      <c r="L393" s="63"/>
      <c r="M393" s="63"/>
      <c r="N393" s="63"/>
      <c r="O393" s="63"/>
      <c r="P393" s="63"/>
      <c r="Q393" s="63"/>
      <c r="R393" s="63"/>
      <c r="S393" s="63"/>
      <c r="T393" s="63"/>
      <c r="U393" s="63"/>
      <c r="V393" s="63"/>
      <c r="W393" s="63"/>
      <c r="X393" s="63"/>
      <c r="Y393" s="63"/>
      <c r="Z393" s="63"/>
      <c r="AA393" s="63"/>
      <c r="AB393" s="63"/>
      <c r="AC393" s="63"/>
      <c r="AD393" s="63"/>
      <c r="AE393" s="63"/>
      <c r="AF393" s="63"/>
      <c r="AG393" s="63"/>
      <c r="AH393" s="63"/>
      <c r="AI393" s="63"/>
    </row>
    <row r="394" spans="4:35" s="66" customFormat="1">
      <c r="D394" s="75"/>
      <c r="F394" s="63"/>
      <c r="G394" s="63"/>
      <c r="H394" s="63"/>
      <c r="I394" s="63"/>
      <c r="J394" s="63"/>
      <c r="K394" s="63"/>
      <c r="L394" s="63"/>
      <c r="M394" s="63"/>
      <c r="N394" s="63"/>
      <c r="O394" s="63"/>
      <c r="P394" s="63"/>
      <c r="Q394" s="63"/>
      <c r="R394" s="63"/>
      <c r="S394" s="63"/>
      <c r="T394" s="63"/>
      <c r="U394" s="63"/>
      <c r="V394" s="63"/>
      <c r="W394" s="63"/>
      <c r="X394" s="63"/>
      <c r="Y394" s="63"/>
      <c r="Z394" s="63"/>
      <c r="AA394" s="63"/>
      <c r="AB394" s="63"/>
      <c r="AC394" s="63"/>
      <c r="AD394" s="63"/>
      <c r="AE394" s="63"/>
      <c r="AF394" s="63"/>
      <c r="AG394" s="63"/>
      <c r="AH394" s="63"/>
      <c r="AI394" s="63"/>
    </row>
    <row r="395" spans="4:35" s="66" customFormat="1">
      <c r="D395" s="75"/>
      <c r="F395" s="63"/>
      <c r="G395" s="63"/>
      <c r="H395" s="63"/>
      <c r="I395" s="63"/>
      <c r="J395" s="63"/>
      <c r="K395" s="63"/>
      <c r="L395" s="63"/>
      <c r="M395" s="63"/>
      <c r="N395" s="63"/>
      <c r="O395" s="63"/>
      <c r="P395" s="63"/>
      <c r="Q395" s="63"/>
      <c r="R395" s="63"/>
      <c r="S395" s="63"/>
      <c r="T395" s="63"/>
      <c r="U395" s="63"/>
      <c r="V395" s="63"/>
      <c r="W395" s="63"/>
      <c r="X395" s="63"/>
      <c r="Y395" s="63"/>
      <c r="Z395" s="63"/>
      <c r="AA395" s="63"/>
      <c r="AB395" s="63"/>
      <c r="AC395" s="63"/>
      <c r="AD395" s="63"/>
      <c r="AE395" s="63"/>
      <c r="AF395" s="63"/>
      <c r="AG395" s="63"/>
      <c r="AH395" s="63"/>
      <c r="AI395" s="63"/>
    </row>
    <row r="396" spans="4:35" s="66" customFormat="1">
      <c r="D396" s="75"/>
      <c r="F396" s="63"/>
      <c r="G396" s="63"/>
      <c r="H396" s="63"/>
      <c r="I396" s="63"/>
      <c r="J396" s="63"/>
      <c r="K396" s="63"/>
      <c r="L396" s="63"/>
      <c r="M396" s="63"/>
      <c r="N396" s="63"/>
      <c r="O396" s="63"/>
      <c r="P396" s="63"/>
      <c r="Q396" s="63"/>
      <c r="R396" s="63"/>
      <c r="S396" s="63"/>
      <c r="T396" s="63"/>
      <c r="U396" s="63"/>
      <c r="V396" s="63"/>
      <c r="W396" s="63"/>
      <c r="X396" s="63"/>
      <c r="Y396" s="63"/>
      <c r="Z396" s="63"/>
      <c r="AA396" s="63"/>
      <c r="AB396" s="63"/>
      <c r="AC396" s="63"/>
      <c r="AD396" s="63"/>
      <c r="AE396" s="63"/>
      <c r="AF396" s="63"/>
      <c r="AG396" s="63"/>
      <c r="AH396" s="63"/>
      <c r="AI396" s="63"/>
    </row>
    <row r="397" spans="4:35" s="66" customFormat="1">
      <c r="D397" s="75"/>
      <c r="F397" s="63"/>
      <c r="G397" s="63"/>
      <c r="H397" s="63"/>
      <c r="I397" s="63"/>
      <c r="J397" s="63"/>
      <c r="K397" s="63"/>
      <c r="L397" s="63"/>
      <c r="M397" s="63"/>
      <c r="N397" s="63"/>
      <c r="O397" s="63"/>
      <c r="P397" s="63"/>
      <c r="Q397" s="63"/>
      <c r="R397" s="63"/>
      <c r="S397" s="63"/>
      <c r="T397" s="63"/>
      <c r="U397" s="63"/>
      <c r="V397" s="63"/>
      <c r="W397" s="63"/>
      <c r="X397" s="63"/>
      <c r="Y397" s="63"/>
      <c r="Z397" s="63"/>
      <c r="AA397" s="63"/>
      <c r="AB397" s="63"/>
      <c r="AC397" s="63"/>
      <c r="AD397" s="63"/>
      <c r="AE397" s="63"/>
      <c r="AF397" s="63"/>
      <c r="AG397" s="63"/>
      <c r="AH397" s="63"/>
      <c r="AI397" s="63"/>
    </row>
    <row r="398" spans="4:35" s="66" customFormat="1">
      <c r="D398" s="75"/>
      <c r="F398" s="63"/>
      <c r="G398" s="63"/>
      <c r="H398" s="63"/>
      <c r="I398" s="63"/>
      <c r="J398" s="63"/>
      <c r="K398" s="63"/>
      <c r="L398" s="63"/>
      <c r="M398" s="63"/>
      <c r="N398" s="63"/>
      <c r="O398" s="63"/>
      <c r="P398" s="63"/>
      <c r="Q398" s="63"/>
      <c r="R398" s="63"/>
      <c r="S398" s="63"/>
      <c r="T398" s="63"/>
      <c r="U398" s="63"/>
      <c r="V398" s="63"/>
      <c r="W398" s="63"/>
      <c r="X398" s="63"/>
      <c r="Y398" s="63"/>
      <c r="Z398" s="63"/>
      <c r="AA398" s="63"/>
      <c r="AB398" s="63"/>
      <c r="AC398" s="63"/>
      <c r="AD398" s="63"/>
      <c r="AE398" s="63"/>
      <c r="AF398" s="63"/>
      <c r="AG398" s="63"/>
      <c r="AH398" s="63"/>
      <c r="AI398" s="63"/>
    </row>
    <row r="399" spans="4:35" s="66" customFormat="1">
      <c r="D399" s="75"/>
      <c r="F399" s="63"/>
      <c r="G399" s="63"/>
      <c r="H399" s="63"/>
      <c r="I399" s="63"/>
      <c r="J399" s="63"/>
      <c r="K399" s="63"/>
      <c r="L399" s="63"/>
      <c r="M399" s="63"/>
      <c r="N399" s="63"/>
      <c r="O399" s="63"/>
      <c r="P399" s="63"/>
      <c r="Q399" s="63"/>
      <c r="R399" s="63"/>
      <c r="S399" s="63"/>
      <c r="T399" s="63"/>
      <c r="U399" s="63"/>
      <c r="V399" s="63"/>
      <c r="W399" s="63"/>
      <c r="X399" s="63"/>
      <c r="Y399" s="63"/>
      <c r="Z399" s="63"/>
      <c r="AA399" s="63"/>
      <c r="AB399" s="63"/>
      <c r="AC399" s="63"/>
      <c r="AD399" s="63"/>
      <c r="AE399" s="63"/>
      <c r="AF399" s="63"/>
      <c r="AG399" s="63"/>
      <c r="AH399" s="63"/>
      <c r="AI399" s="63"/>
    </row>
    <row r="400" spans="4:35" s="66" customFormat="1">
      <c r="D400" s="75"/>
      <c r="F400" s="63"/>
      <c r="G400" s="63"/>
      <c r="H400" s="63"/>
      <c r="I400" s="63"/>
      <c r="J400" s="63"/>
      <c r="K400" s="63"/>
      <c r="L400" s="63"/>
      <c r="M400" s="63"/>
      <c r="N400" s="63"/>
      <c r="O400" s="63"/>
      <c r="P400" s="63"/>
      <c r="Q400" s="63"/>
      <c r="R400" s="63"/>
      <c r="S400" s="63"/>
      <c r="T400" s="63"/>
      <c r="U400" s="63"/>
      <c r="V400" s="63"/>
      <c r="W400" s="63"/>
      <c r="X400" s="63"/>
      <c r="Y400" s="63"/>
      <c r="Z400" s="63"/>
      <c r="AA400" s="63"/>
      <c r="AB400" s="63"/>
      <c r="AC400" s="63"/>
      <c r="AD400" s="63"/>
      <c r="AE400" s="63"/>
      <c r="AF400" s="63"/>
      <c r="AG400" s="63"/>
      <c r="AH400" s="63"/>
      <c r="AI400" s="63"/>
    </row>
    <row r="401" spans="4:35" s="66" customFormat="1">
      <c r="D401" s="75"/>
      <c r="F401" s="63"/>
      <c r="G401" s="63"/>
      <c r="H401" s="63"/>
      <c r="I401" s="63"/>
      <c r="J401" s="63"/>
      <c r="K401" s="63"/>
      <c r="L401" s="63"/>
      <c r="M401" s="63"/>
      <c r="N401" s="63"/>
      <c r="O401" s="63"/>
      <c r="P401" s="63"/>
      <c r="Q401" s="63"/>
      <c r="R401" s="63"/>
      <c r="S401" s="63"/>
      <c r="T401" s="63"/>
      <c r="U401" s="63"/>
      <c r="V401" s="63"/>
      <c r="W401" s="63"/>
      <c r="X401" s="63"/>
      <c r="Y401" s="63"/>
      <c r="Z401" s="63"/>
      <c r="AA401" s="63"/>
      <c r="AB401" s="63"/>
      <c r="AC401" s="63"/>
      <c r="AD401" s="63"/>
      <c r="AE401" s="63"/>
      <c r="AF401" s="63"/>
      <c r="AG401" s="63"/>
      <c r="AH401" s="63"/>
      <c r="AI401" s="63"/>
    </row>
    <row r="402" spans="4:35" s="66" customFormat="1">
      <c r="D402" s="75"/>
      <c r="F402" s="63"/>
      <c r="G402" s="63"/>
      <c r="H402" s="63"/>
      <c r="I402" s="63"/>
      <c r="J402" s="63"/>
      <c r="K402" s="63"/>
      <c r="L402" s="63"/>
      <c r="M402" s="63"/>
      <c r="N402" s="63"/>
      <c r="O402" s="63"/>
      <c r="P402" s="63"/>
      <c r="Q402" s="63"/>
      <c r="R402" s="63"/>
      <c r="S402" s="63"/>
      <c r="T402" s="63"/>
      <c r="U402" s="63"/>
      <c r="V402" s="63"/>
      <c r="W402" s="63"/>
      <c r="X402" s="63"/>
      <c r="Y402" s="63"/>
      <c r="Z402" s="63"/>
      <c r="AA402" s="63"/>
      <c r="AB402" s="63"/>
      <c r="AC402" s="63"/>
      <c r="AD402" s="63"/>
      <c r="AE402" s="63"/>
      <c r="AF402" s="63"/>
      <c r="AG402" s="63"/>
      <c r="AH402" s="63"/>
      <c r="AI402" s="63"/>
    </row>
    <row r="403" spans="4:35" s="66" customFormat="1">
      <c r="D403" s="75"/>
      <c r="F403" s="63"/>
      <c r="G403" s="63"/>
      <c r="H403" s="63"/>
      <c r="I403" s="63"/>
      <c r="J403" s="63"/>
      <c r="K403" s="63"/>
      <c r="L403" s="63"/>
      <c r="M403" s="63"/>
      <c r="N403" s="63"/>
      <c r="O403" s="63"/>
      <c r="P403" s="63"/>
      <c r="Q403" s="63"/>
      <c r="R403" s="63"/>
      <c r="S403" s="63"/>
      <c r="T403" s="63"/>
      <c r="U403" s="63"/>
      <c r="V403" s="63"/>
      <c r="W403" s="63"/>
      <c r="X403" s="63"/>
      <c r="Y403" s="63"/>
      <c r="Z403" s="63"/>
      <c r="AA403" s="63"/>
      <c r="AB403" s="63"/>
      <c r="AC403" s="63"/>
      <c r="AD403" s="63"/>
      <c r="AE403" s="63"/>
      <c r="AF403" s="63"/>
      <c r="AG403" s="63"/>
      <c r="AH403" s="63"/>
      <c r="AI403" s="63"/>
    </row>
    <row r="404" spans="4:35" s="66" customFormat="1">
      <c r="D404" s="75"/>
      <c r="F404" s="63"/>
      <c r="G404" s="63"/>
      <c r="H404" s="63"/>
      <c r="I404" s="63"/>
      <c r="J404" s="63"/>
      <c r="K404" s="63"/>
      <c r="L404" s="63"/>
      <c r="M404" s="63"/>
      <c r="N404" s="63"/>
      <c r="O404" s="63"/>
      <c r="P404" s="63"/>
      <c r="Q404" s="63"/>
      <c r="R404" s="63"/>
      <c r="S404" s="63"/>
      <c r="T404" s="63"/>
      <c r="U404" s="63"/>
      <c r="V404" s="63"/>
      <c r="W404" s="63"/>
      <c r="X404" s="63"/>
      <c r="Y404" s="63"/>
      <c r="Z404" s="63"/>
      <c r="AA404" s="63"/>
      <c r="AB404" s="63"/>
      <c r="AC404" s="63"/>
      <c r="AD404" s="63"/>
      <c r="AE404" s="63"/>
      <c r="AF404" s="63"/>
      <c r="AG404" s="63"/>
      <c r="AH404" s="63"/>
      <c r="AI404" s="63"/>
    </row>
    <row r="405" spans="4:35" s="66" customFormat="1">
      <c r="D405" s="75"/>
      <c r="F405" s="63"/>
      <c r="G405" s="63"/>
      <c r="H405" s="63"/>
      <c r="I405" s="63"/>
      <c r="J405" s="63"/>
      <c r="K405" s="63"/>
      <c r="L405" s="63"/>
      <c r="M405" s="63"/>
      <c r="N405" s="63"/>
      <c r="O405" s="63"/>
      <c r="P405" s="63"/>
      <c r="Q405" s="63"/>
      <c r="R405" s="63"/>
      <c r="S405" s="63"/>
      <c r="T405" s="63"/>
      <c r="U405" s="63"/>
      <c r="V405" s="63"/>
      <c r="W405" s="63"/>
      <c r="X405" s="63"/>
      <c r="Y405" s="63"/>
      <c r="Z405" s="63"/>
      <c r="AA405" s="63"/>
      <c r="AB405" s="63"/>
      <c r="AC405" s="63"/>
      <c r="AD405" s="63"/>
      <c r="AE405" s="63"/>
      <c r="AF405" s="63"/>
      <c r="AG405" s="63"/>
      <c r="AH405" s="63"/>
      <c r="AI405" s="63"/>
    </row>
    <row r="406" spans="4:35" s="66" customFormat="1">
      <c r="D406" s="75"/>
      <c r="F406" s="63"/>
      <c r="G406" s="63"/>
      <c r="H406" s="63"/>
      <c r="I406" s="63"/>
      <c r="J406" s="63"/>
      <c r="K406" s="63"/>
      <c r="L406" s="63"/>
      <c r="M406" s="63"/>
      <c r="N406" s="63"/>
      <c r="O406" s="63"/>
      <c r="P406" s="63"/>
      <c r="Q406" s="63"/>
      <c r="R406" s="63"/>
      <c r="S406" s="63"/>
      <c r="T406" s="63"/>
      <c r="U406" s="63"/>
      <c r="V406" s="63"/>
      <c r="W406" s="63"/>
      <c r="X406" s="63"/>
      <c r="Y406" s="63"/>
      <c r="Z406" s="63"/>
      <c r="AA406" s="63"/>
      <c r="AB406" s="63"/>
      <c r="AC406" s="63"/>
      <c r="AD406" s="63"/>
      <c r="AE406" s="63"/>
      <c r="AF406" s="63"/>
      <c r="AG406" s="63"/>
      <c r="AH406" s="63"/>
      <c r="AI406" s="63"/>
    </row>
    <row r="407" spans="4:35" s="66" customFormat="1">
      <c r="D407" s="75"/>
      <c r="F407" s="63"/>
      <c r="G407" s="63"/>
      <c r="H407" s="63"/>
      <c r="I407" s="63"/>
      <c r="J407" s="63"/>
      <c r="K407" s="63"/>
      <c r="L407" s="63"/>
      <c r="M407" s="63"/>
      <c r="N407" s="63"/>
      <c r="O407" s="63"/>
      <c r="P407" s="63"/>
      <c r="Q407" s="63"/>
      <c r="R407" s="63"/>
      <c r="S407" s="63"/>
      <c r="T407" s="63"/>
      <c r="U407" s="63"/>
      <c r="V407" s="63"/>
      <c r="W407" s="63"/>
      <c r="X407" s="63"/>
      <c r="Y407" s="63"/>
      <c r="Z407" s="63"/>
      <c r="AA407" s="63"/>
      <c r="AB407" s="63"/>
      <c r="AC407" s="63"/>
      <c r="AD407" s="63"/>
      <c r="AE407" s="63"/>
      <c r="AF407" s="63"/>
      <c r="AG407" s="63"/>
      <c r="AH407" s="63"/>
      <c r="AI407" s="63"/>
    </row>
    <row r="408" spans="4:35" s="66" customFormat="1">
      <c r="D408" s="75"/>
      <c r="F408" s="63"/>
      <c r="G408" s="63"/>
      <c r="H408" s="63"/>
      <c r="I408" s="63"/>
      <c r="J408" s="63"/>
      <c r="K408" s="63"/>
      <c r="L408" s="63"/>
      <c r="M408" s="63"/>
      <c r="N408" s="63"/>
      <c r="O408" s="63"/>
      <c r="P408" s="63"/>
      <c r="Q408" s="63"/>
      <c r="R408" s="63"/>
      <c r="S408" s="63"/>
      <c r="T408" s="63"/>
      <c r="U408" s="63"/>
      <c r="V408" s="63"/>
      <c r="W408" s="63"/>
      <c r="X408" s="63"/>
      <c r="Y408" s="63"/>
      <c r="Z408" s="63"/>
      <c r="AA408" s="63"/>
      <c r="AB408" s="63"/>
      <c r="AC408" s="63"/>
      <c r="AD408" s="63"/>
      <c r="AE408" s="63"/>
      <c r="AF408" s="63"/>
      <c r="AG408" s="63"/>
      <c r="AH408" s="63"/>
      <c r="AI408" s="63"/>
    </row>
    <row r="409" spans="4:35" s="66" customFormat="1">
      <c r="D409" s="75"/>
      <c r="F409" s="63"/>
      <c r="G409" s="63"/>
      <c r="H409" s="63"/>
      <c r="I409" s="63"/>
      <c r="J409" s="63"/>
      <c r="K409" s="63"/>
      <c r="L409" s="63"/>
      <c r="M409" s="63"/>
      <c r="N409" s="63"/>
      <c r="O409" s="63"/>
      <c r="P409" s="63"/>
      <c r="Q409" s="63"/>
      <c r="R409" s="63"/>
      <c r="S409" s="63"/>
      <c r="T409" s="63"/>
      <c r="U409" s="63"/>
      <c r="V409" s="63"/>
      <c r="W409" s="63"/>
      <c r="X409" s="63"/>
      <c r="Y409" s="63"/>
      <c r="Z409" s="63"/>
      <c r="AA409" s="63"/>
      <c r="AB409" s="63"/>
      <c r="AC409" s="63"/>
      <c r="AD409" s="63"/>
      <c r="AE409" s="63"/>
      <c r="AF409" s="63"/>
      <c r="AG409" s="63"/>
      <c r="AH409" s="63"/>
      <c r="AI409" s="63"/>
    </row>
    <row r="410" spans="4:35" s="66" customFormat="1">
      <c r="D410" s="75"/>
      <c r="F410" s="63"/>
      <c r="G410" s="63"/>
      <c r="H410" s="63"/>
      <c r="I410" s="63"/>
      <c r="J410" s="63"/>
      <c r="K410" s="63"/>
      <c r="L410" s="63"/>
      <c r="M410" s="63"/>
      <c r="N410" s="63"/>
      <c r="O410" s="63"/>
      <c r="P410" s="63"/>
      <c r="Q410" s="63"/>
      <c r="R410" s="63"/>
      <c r="S410" s="63"/>
      <c r="T410" s="63"/>
      <c r="U410" s="63"/>
      <c r="V410" s="63"/>
      <c r="W410" s="63"/>
      <c r="X410" s="63"/>
      <c r="Y410" s="63"/>
      <c r="Z410" s="63"/>
      <c r="AA410" s="63"/>
      <c r="AB410" s="63"/>
      <c r="AC410" s="63"/>
      <c r="AD410" s="63"/>
      <c r="AE410" s="63"/>
      <c r="AF410" s="63"/>
      <c r="AG410" s="63"/>
      <c r="AH410" s="63"/>
      <c r="AI410" s="63"/>
    </row>
    <row r="411" spans="4:35" s="66" customFormat="1">
      <c r="D411" s="75"/>
      <c r="F411" s="63"/>
      <c r="G411" s="63"/>
      <c r="H411" s="63"/>
      <c r="I411" s="63"/>
      <c r="J411" s="63"/>
      <c r="K411" s="63"/>
      <c r="L411" s="63"/>
      <c r="M411" s="63"/>
      <c r="N411" s="63"/>
      <c r="O411" s="63"/>
      <c r="P411" s="63"/>
      <c r="Q411" s="63"/>
      <c r="R411" s="63"/>
      <c r="S411" s="63"/>
      <c r="T411" s="63"/>
      <c r="U411" s="63"/>
      <c r="V411" s="63"/>
      <c r="W411" s="63"/>
      <c r="X411" s="63"/>
      <c r="Y411" s="63"/>
      <c r="Z411" s="63"/>
      <c r="AA411" s="63"/>
      <c r="AB411" s="63"/>
      <c r="AC411" s="63"/>
      <c r="AD411" s="63"/>
      <c r="AE411" s="63"/>
      <c r="AF411" s="63"/>
      <c r="AG411" s="63"/>
      <c r="AH411" s="63"/>
      <c r="AI411" s="63"/>
    </row>
    <row r="412" spans="4:35" s="66" customFormat="1">
      <c r="D412" s="75"/>
      <c r="F412" s="63"/>
      <c r="G412" s="63"/>
      <c r="H412" s="63"/>
      <c r="I412" s="63"/>
      <c r="J412" s="63"/>
      <c r="K412" s="63"/>
      <c r="L412" s="63"/>
      <c r="M412" s="63"/>
      <c r="N412" s="63"/>
      <c r="O412" s="63"/>
      <c r="P412" s="63"/>
      <c r="Q412" s="63"/>
      <c r="R412" s="63"/>
      <c r="S412" s="63"/>
      <c r="T412" s="63"/>
      <c r="U412" s="63"/>
      <c r="V412" s="63"/>
      <c r="W412" s="63"/>
      <c r="X412" s="63"/>
      <c r="Y412" s="63"/>
      <c r="Z412" s="63"/>
      <c r="AA412" s="63"/>
      <c r="AB412" s="63"/>
      <c r="AC412" s="63"/>
      <c r="AD412" s="63"/>
      <c r="AE412" s="63"/>
      <c r="AF412" s="63"/>
      <c r="AG412" s="63"/>
      <c r="AH412" s="63"/>
      <c r="AI412" s="63"/>
    </row>
    <row r="413" spans="4:35" s="66" customFormat="1">
      <c r="D413" s="75"/>
      <c r="F413" s="63"/>
      <c r="G413" s="63"/>
      <c r="H413" s="63"/>
      <c r="I413" s="63"/>
      <c r="J413" s="63"/>
      <c r="K413" s="63"/>
      <c r="L413" s="63"/>
      <c r="M413" s="63"/>
      <c r="N413" s="63"/>
      <c r="O413" s="63"/>
      <c r="P413" s="63"/>
      <c r="Q413" s="63"/>
      <c r="R413" s="63"/>
      <c r="S413" s="63"/>
      <c r="T413" s="63"/>
      <c r="U413" s="63"/>
      <c r="V413" s="63"/>
      <c r="W413" s="63"/>
      <c r="X413" s="63"/>
      <c r="Y413" s="63"/>
      <c r="Z413" s="63"/>
      <c r="AA413" s="63"/>
      <c r="AB413" s="63"/>
      <c r="AC413" s="63"/>
      <c r="AD413" s="63"/>
      <c r="AE413" s="63"/>
      <c r="AF413" s="63"/>
      <c r="AG413" s="63"/>
      <c r="AH413" s="63"/>
      <c r="AI413" s="63"/>
    </row>
    <row r="414" spans="4:35" s="66" customFormat="1">
      <c r="D414" s="75"/>
      <c r="F414" s="63"/>
      <c r="G414" s="63"/>
      <c r="H414" s="63"/>
      <c r="I414" s="63"/>
      <c r="J414" s="63"/>
      <c r="K414" s="63"/>
      <c r="L414" s="63"/>
      <c r="M414" s="63"/>
      <c r="N414" s="63"/>
      <c r="O414" s="63"/>
      <c r="P414" s="63"/>
      <c r="Q414" s="63"/>
      <c r="R414" s="63"/>
      <c r="S414" s="63"/>
      <c r="T414" s="63"/>
      <c r="U414" s="63"/>
      <c r="V414" s="63"/>
      <c r="W414" s="63"/>
      <c r="X414" s="63"/>
      <c r="Y414" s="63"/>
      <c r="Z414" s="63"/>
      <c r="AA414" s="63"/>
      <c r="AB414" s="63"/>
      <c r="AC414" s="63"/>
      <c r="AD414" s="63"/>
      <c r="AE414" s="63"/>
      <c r="AF414" s="63"/>
      <c r="AG414" s="63"/>
      <c r="AH414" s="63"/>
      <c r="AI414" s="63"/>
    </row>
    <row r="415" spans="4:35" s="66" customFormat="1">
      <c r="D415" s="75"/>
      <c r="F415" s="63"/>
      <c r="G415" s="63"/>
      <c r="H415" s="63"/>
      <c r="I415" s="63"/>
      <c r="J415" s="63"/>
      <c r="K415" s="63"/>
      <c r="L415" s="63"/>
      <c r="M415" s="63"/>
      <c r="N415" s="63"/>
      <c r="O415" s="63"/>
      <c r="P415" s="63"/>
      <c r="Q415" s="63"/>
      <c r="R415" s="63"/>
      <c r="S415" s="63"/>
      <c r="T415" s="63"/>
      <c r="U415" s="63"/>
      <c r="V415" s="63"/>
      <c r="W415" s="63"/>
      <c r="X415" s="63"/>
      <c r="Y415" s="63"/>
      <c r="Z415" s="63"/>
      <c r="AA415" s="63"/>
      <c r="AB415" s="63"/>
      <c r="AC415" s="63"/>
      <c r="AD415" s="63"/>
      <c r="AE415" s="63"/>
      <c r="AF415" s="63"/>
      <c r="AG415" s="63"/>
      <c r="AH415" s="63"/>
      <c r="AI415" s="63"/>
    </row>
    <row r="416" spans="4:35" s="66" customFormat="1">
      <c r="D416" s="75"/>
      <c r="F416" s="63"/>
      <c r="G416" s="63"/>
      <c r="H416" s="63"/>
      <c r="I416" s="63"/>
      <c r="J416" s="63"/>
      <c r="K416" s="63"/>
      <c r="L416" s="63"/>
      <c r="M416" s="63"/>
      <c r="N416" s="63"/>
      <c r="O416" s="63"/>
      <c r="P416" s="63"/>
      <c r="Q416" s="63"/>
      <c r="R416" s="63"/>
      <c r="S416" s="63"/>
      <c r="T416" s="63"/>
      <c r="U416" s="63"/>
      <c r="V416" s="63"/>
      <c r="W416" s="63"/>
      <c r="X416" s="63"/>
      <c r="Y416" s="63"/>
      <c r="Z416" s="63"/>
      <c r="AA416" s="63"/>
      <c r="AB416" s="63"/>
      <c r="AC416" s="63"/>
      <c r="AD416" s="63"/>
      <c r="AE416" s="63"/>
      <c r="AF416" s="63"/>
      <c r="AG416" s="63"/>
      <c r="AH416" s="63"/>
      <c r="AI416" s="63"/>
    </row>
    <row r="417" spans="4:35" s="66" customFormat="1">
      <c r="D417" s="75"/>
      <c r="F417" s="63"/>
      <c r="G417" s="63"/>
      <c r="H417" s="63"/>
      <c r="I417" s="63"/>
      <c r="J417" s="63"/>
      <c r="K417" s="63"/>
      <c r="L417" s="63"/>
      <c r="M417" s="63"/>
      <c r="N417" s="63"/>
      <c r="O417" s="63"/>
      <c r="P417" s="63"/>
      <c r="Q417" s="63"/>
      <c r="R417" s="63"/>
      <c r="S417" s="63"/>
      <c r="T417" s="63"/>
      <c r="U417" s="63"/>
      <c r="V417" s="63"/>
      <c r="W417" s="63"/>
      <c r="X417" s="63"/>
      <c r="Y417" s="63"/>
      <c r="Z417" s="63"/>
      <c r="AA417" s="63"/>
      <c r="AB417" s="63"/>
      <c r="AC417" s="63"/>
      <c r="AD417" s="63"/>
      <c r="AE417" s="63"/>
      <c r="AF417" s="63"/>
      <c r="AG417" s="63"/>
      <c r="AH417" s="63"/>
      <c r="AI417" s="63"/>
    </row>
    <row r="418" spans="4:35" s="66" customFormat="1">
      <c r="D418" s="75"/>
      <c r="F418" s="63"/>
      <c r="G418" s="63"/>
      <c r="H418" s="63"/>
      <c r="I418" s="63"/>
      <c r="J418" s="63"/>
      <c r="K418" s="63"/>
      <c r="L418" s="63"/>
      <c r="M418" s="63"/>
      <c r="N418" s="63"/>
      <c r="O418" s="63"/>
      <c r="P418" s="63"/>
      <c r="Q418" s="63"/>
      <c r="R418" s="63"/>
      <c r="S418" s="63"/>
      <c r="T418" s="63"/>
      <c r="U418" s="63"/>
      <c r="V418" s="63"/>
      <c r="W418" s="63"/>
      <c r="X418" s="63"/>
      <c r="Y418" s="63"/>
      <c r="Z418" s="63"/>
      <c r="AA418" s="63"/>
      <c r="AB418" s="63"/>
      <c r="AC418" s="63"/>
      <c r="AD418" s="63"/>
      <c r="AE418" s="63"/>
      <c r="AF418" s="63"/>
      <c r="AG418" s="63"/>
      <c r="AH418" s="63"/>
      <c r="AI418" s="63"/>
    </row>
    <row r="419" spans="4:35" s="66" customFormat="1">
      <c r="D419" s="75"/>
      <c r="F419" s="63"/>
      <c r="G419" s="63"/>
      <c r="H419" s="63"/>
      <c r="I419" s="63"/>
      <c r="J419" s="63"/>
      <c r="K419" s="63"/>
      <c r="L419" s="63"/>
      <c r="M419" s="63"/>
      <c r="N419" s="63"/>
      <c r="O419" s="63"/>
      <c r="P419" s="63"/>
      <c r="Q419" s="63"/>
      <c r="R419" s="63"/>
      <c r="S419" s="63"/>
      <c r="T419" s="63"/>
      <c r="U419" s="63"/>
      <c r="V419" s="63"/>
      <c r="W419" s="63"/>
      <c r="X419" s="63"/>
      <c r="Y419" s="63"/>
      <c r="Z419" s="63"/>
      <c r="AA419" s="63"/>
      <c r="AB419" s="63"/>
      <c r="AC419" s="63"/>
      <c r="AD419" s="63"/>
      <c r="AE419" s="63"/>
      <c r="AF419" s="63"/>
      <c r="AG419" s="63"/>
      <c r="AH419" s="63"/>
      <c r="AI419" s="63"/>
    </row>
    <row r="420" spans="4:35" s="66" customFormat="1">
      <c r="D420" s="75"/>
      <c r="F420" s="63"/>
      <c r="G420" s="63"/>
      <c r="H420" s="63"/>
      <c r="I420" s="63"/>
      <c r="J420" s="63"/>
      <c r="K420" s="63"/>
      <c r="L420" s="63"/>
      <c r="M420" s="63"/>
      <c r="N420" s="63"/>
      <c r="O420" s="63"/>
      <c r="P420" s="63"/>
      <c r="Q420" s="63"/>
      <c r="R420" s="63"/>
      <c r="S420" s="63"/>
      <c r="T420" s="63"/>
      <c r="U420" s="63"/>
      <c r="V420" s="63"/>
      <c r="W420" s="63"/>
      <c r="X420" s="63"/>
      <c r="Y420" s="63"/>
      <c r="Z420" s="63"/>
      <c r="AA420" s="63"/>
      <c r="AB420" s="63"/>
      <c r="AC420" s="63"/>
      <c r="AD420" s="63"/>
      <c r="AE420" s="63"/>
      <c r="AF420" s="63"/>
      <c r="AG420" s="63"/>
      <c r="AH420" s="63"/>
      <c r="AI420" s="63"/>
    </row>
    <row r="421" spans="4:35" s="66" customFormat="1">
      <c r="D421" s="75"/>
      <c r="F421" s="63"/>
      <c r="G421" s="63"/>
      <c r="H421" s="63"/>
      <c r="I421" s="63"/>
      <c r="J421" s="63"/>
      <c r="K421" s="63"/>
      <c r="L421" s="63"/>
      <c r="M421" s="63"/>
      <c r="N421" s="63"/>
      <c r="O421" s="63"/>
      <c r="P421" s="63"/>
      <c r="Q421" s="63"/>
      <c r="R421" s="63"/>
      <c r="S421" s="63"/>
      <c r="T421" s="63"/>
      <c r="U421" s="63"/>
      <c r="V421" s="63"/>
      <c r="W421" s="63"/>
      <c r="X421" s="63"/>
      <c r="Y421" s="63"/>
      <c r="Z421" s="63"/>
      <c r="AA421" s="63"/>
      <c r="AB421" s="63"/>
      <c r="AC421" s="63"/>
      <c r="AD421" s="63"/>
      <c r="AE421" s="63"/>
      <c r="AF421" s="63"/>
      <c r="AG421" s="63"/>
      <c r="AH421" s="63"/>
      <c r="AI421" s="63"/>
    </row>
    <row r="422" spans="4:35" s="66" customFormat="1">
      <c r="D422" s="75"/>
      <c r="F422" s="63"/>
      <c r="G422" s="63"/>
      <c r="H422" s="63"/>
      <c r="I422" s="63"/>
      <c r="J422" s="63"/>
      <c r="K422" s="63"/>
      <c r="L422" s="63"/>
      <c r="M422" s="63"/>
      <c r="N422" s="63"/>
      <c r="O422" s="63"/>
      <c r="P422" s="63"/>
      <c r="Q422" s="63"/>
      <c r="R422" s="63"/>
      <c r="S422" s="63"/>
      <c r="T422" s="63"/>
      <c r="U422" s="63"/>
      <c r="V422" s="63"/>
      <c r="W422" s="63"/>
      <c r="X422" s="63"/>
      <c r="Y422" s="63"/>
      <c r="Z422" s="63"/>
      <c r="AA422" s="63"/>
      <c r="AB422" s="63"/>
      <c r="AC422" s="63"/>
      <c r="AD422" s="63"/>
      <c r="AE422" s="63"/>
      <c r="AF422" s="63"/>
      <c r="AG422" s="63"/>
      <c r="AH422" s="63"/>
      <c r="AI422" s="63"/>
    </row>
    <row r="423" spans="4:35" s="66" customFormat="1">
      <c r="D423" s="75"/>
      <c r="F423" s="63"/>
      <c r="G423" s="63"/>
      <c r="H423" s="63"/>
      <c r="I423" s="63"/>
      <c r="J423" s="63"/>
      <c r="K423" s="63"/>
      <c r="L423" s="63"/>
      <c r="M423" s="63"/>
      <c r="N423" s="63"/>
      <c r="O423" s="63"/>
      <c r="P423" s="63"/>
      <c r="Q423" s="63"/>
      <c r="R423" s="63"/>
      <c r="S423" s="63"/>
      <c r="T423" s="63"/>
      <c r="U423" s="63"/>
      <c r="V423" s="63"/>
      <c r="W423" s="63"/>
      <c r="X423" s="63"/>
      <c r="Y423" s="63"/>
      <c r="Z423" s="63"/>
      <c r="AA423" s="63"/>
      <c r="AB423" s="63"/>
      <c r="AC423" s="63"/>
      <c r="AD423" s="63"/>
      <c r="AE423" s="63"/>
      <c r="AF423" s="63"/>
      <c r="AG423" s="63"/>
      <c r="AH423" s="63"/>
      <c r="AI423" s="63"/>
    </row>
    <row r="424" spans="4:35" s="66" customFormat="1">
      <c r="D424" s="75"/>
      <c r="F424" s="63"/>
      <c r="G424" s="63"/>
      <c r="H424" s="63"/>
      <c r="I424" s="63"/>
      <c r="J424" s="63"/>
      <c r="K424" s="63"/>
      <c r="L424" s="63"/>
      <c r="M424" s="63"/>
      <c r="N424" s="63"/>
      <c r="O424" s="63"/>
      <c r="P424" s="63"/>
      <c r="Q424" s="63"/>
      <c r="R424" s="63"/>
      <c r="S424" s="63"/>
      <c r="T424" s="63"/>
      <c r="U424" s="63"/>
      <c r="V424" s="63"/>
      <c r="W424" s="63"/>
      <c r="X424" s="63"/>
      <c r="Y424" s="63"/>
      <c r="Z424" s="63"/>
      <c r="AA424" s="63"/>
      <c r="AB424" s="63"/>
      <c r="AC424" s="63"/>
      <c r="AD424" s="63"/>
      <c r="AE424" s="63"/>
      <c r="AF424" s="63"/>
      <c r="AG424" s="63"/>
      <c r="AH424" s="63"/>
      <c r="AI424" s="63"/>
    </row>
    <row r="425" spans="4:35" s="66" customFormat="1">
      <c r="D425" s="75"/>
      <c r="F425" s="63"/>
      <c r="G425" s="63"/>
      <c r="H425" s="63"/>
      <c r="I425" s="63"/>
      <c r="J425" s="63"/>
      <c r="K425" s="63"/>
      <c r="L425" s="63"/>
      <c r="M425" s="63"/>
      <c r="N425" s="63"/>
      <c r="O425" s="63"/>
      <c r="P425" s="63"/>
      <c r="Q425" s="63"/>
      <c r="R425" s="63"/>
      <c r="S425" s="63"/>
      <c r="T425" s="63"/>
      <c r="U425" s="63"/>
      <c r="V425" s="63"/>
      <c r="W425" s="63"/>
      <c r="X425" s="63"/>
      <c r="Y425" s="63"/>
      <c r="Z425" s="63"/>
      <c r="AA425" s="63"/>
      <c r="AB425" s="63"/>
      <c r="AC425" s="63"/>
      <c r="AD425" s="63"/>
      <c r="AE425" s="63"/>
      <c r="AF425" s="63"/>
      <c r="AG425" s="63"/>
      <c r="AH425" s="63"/>
      <c r="AI425" s="63"/>
    </row>
    <row r="426" spans="4:35" s="66" customFormat="1">
      <c r="D426" s="75"/>
      <c r="F426" s="63"/>
      <c r="G426" s="63"/>
      <c r="H426" s="63"/>
      <c r="I426" s="63"/>
      <c r="J426" s="63"/>
      <c r="K426" s="63"/>
      <c r="L426" s="63"/>
      <c r="M426" s="63"/>
      <c r="N426" s="63"/>
      <c r="O426" s="63"/>
      <c r="P426" s="63"/>
      <c r="Q426" s="63"/>
      <c r="R426" s="63"/>
      <c r="S426" s="63"/>
      <c r="T426" s="63"/>
      <c r="U426" s="63"/>
      <c r="V426" s="63"/>
      <c r="W426" s="63"/>
      <c r="X426" s="63"/>
      <c r="Y426" s="63"/>
      <c r="Z426" s="63"/>
      <c r="AA426" s="63"/>
      <c r="AB426" s="63"/>
      <c r="AC426" s="63"/>
      <c r="AD426" s="63"/>
      <c r="AE426" s="63"/>
      <c r="AF426" s="63"/>
      <c r="AG426" s="63"/>
      <c r="AH426" s="63"/>
      <c r="AI426" s="63"/>
    </row>
    <row r="427" spans="4:35" s="66" customFormat="1">
      <c r="D427" s="75"/>
      <c r="F427" s="63"/>
      <c r="G427" s="63"/>
      <c r="H427" s="63"/>
      <c r="I427" s="63"/>
      <c r="J427" s="63"/>
      <c r="K427" s="63"/>
      <c r="L427" s="63"/>
      <c r="M427" s="63"/>
      <c r="N427" s="63"/>
      <c r="O427" s="63"/>
      <c r="P427" s="63"/>
      <c r="Q427" s="63"/>
      <c r="R427" s="63"/>
      <c r="S427" s="63"/>
      <c r="T427" s="63"/>
      <c r="U427" s="63"/>
      <c r="V427" s="63"/>
      <c r="W427" s="63"/>
      <c r="X427" s="63"/>
      <c r="Y427" s="63"/>
      <c r="Z427" s="63"/>
      <c r="AA427" s="63"/>
      <c r="AB427" s="63"/>
      <c r="AC427" s="63"/>
      <c r="AD427" s="63"/>
      <c r="AE427" s="63"/>
      <c r="AF427" s="63"/>
      <c r="AG427" s="63"/>
      <c r="AH427" s="63"/>
      <c r="AI427" s="63"/>
    </row>
    <row r="428" spans="4:35" s="66" customFormat="1">
      <c r="D428" s="75"/>
      <c r="F428" s="63"/>
      <c r="G428" s="63"/>
      <c r="H428" s="63"/>
      <c r="I428" s="63"/>
      <c r="J428" s="63"/>
      <c r="K428" s="63"/>
      <c r="L428" s="63"/>
      <c r="M428" s="63"/>
      <c r="N428" s="63"/>
      <c r="O428" s="63"/>
      <c r="P428" s="63"/>
      <c r="Q428" s="63"/>
      <c r="R428" s="63"/>
      <c r="S428" s="63"/>
      <c r="T428" s="63"/>
      <c r="U428" s="63"/>
      <c r="V428" s="63"/>
      <c r="W428" s="63"/>
      <c r="X428" s="63"/>
      <c r="Y428" s="63"/>
      <c r="Z428" s="63"/>
      <c r="AA428" s="63"/>
      <c r="AB428" s="63"/>
      <c r="AC428" s="63"/>
      <c r="AD428" s="63"/>
      <c r="AE428" s="63"/>
      <c r="AF428" s="63"/>
      <c r="AG428" s="63"/>
      <c r="AH428" s="63"/>
      <c r="AI428" s="63"/>
    </row>
    <row r="429" spans="4:35" s="66" customFormat="1">
      <c r="D429" s="75"/>
      <c r="F429" s="63"/>
      <c r="G429" s="63"/>
      <c r="H429" s="63"/>
      <c r="I429" s="63"/>
      <c r="J429" s="63"/>
      <c r="K429" s="63"/>
      <c r="L429" s="63"/>
      <c r="M429" s="63"/>
      <c r="N429" s="63"/>
      <c r="O429" s="63"/>
      <c r="P429" s="63"/>
      <c r="Q429" s="63"/>
      <c r="R429" s="63"/>
      <c r="S429" s="63"/>
      <c r="T429" s="63"/>
      <c r="U429" s="63"/>
      <c r="V429" s="63"/>
      <c r="W429" s="63"/>
      <c r="X429" s="63"/>
      <c r="Y429" s="63"/>
      <c r="Z429" s="63"/>
      <c r="AA429" s="63"/>
      <c r="AB429" s="63"/>
      <c r="AC429" s="63"/>
      <c r="AD429" s="63"/>
      <c r="AE429" s="63"/>
      <c r="AF429" s="63"/>
      <c r="AG429" s="63"/>
      <c r="AH429" s="63"/>
      <c r="AI429" s="63"/>
    </row>
    <row r="430" spans="4:35" s="66" customFormat="1">
      <c r="D430" s="75"/>
      <c r="F430" s="63"/>
      <c r="G430" s="63"/>
      <c r="H430" s="63"/>
      <c r="I430" s="63"/>
      <c r="J430" s="63"/>
      <c r="K430" s="63"/>
      <c r="L430" s="63"/>
      <c r="M430" s="63"/>
      <c r="N430" s="63"/>
      <c r="O430" s="63"/>
      <c r="P430" s="63"/>
      <c r="Q430" s="63"/>
      <c r="R430" s="63"/>
      <c r="S430" s="63"/>
      <c r="T430" s="63"/>
      <c r="U430" s="63"/>
      <c r="V430" s="63"/>
      <c r="W430" s="63"/>
      <c r="X430" s="63"/>
      <c r="Y430" s="63"/>
      <c r="Z430" s="63"/>
      <c r="AA430" s="63"/>
      <c r="AB430" s="63"/>
      <c r="AC430" s="63"/>
      <c r="AD430" s="63"/>
      <c r="AE430" s="63"/>
      <c r="AF430" s="63"/>
      <c r="AG430" s="63"/>
      <c r="AH430" s="63"/>
      <c r="AI430" s="63"/>
    </row>
    <row r="431" spans="4:35" s="66" customFormat="1">
      <c r="D431" s="75"/>
      <c r="F431" s="63"/>
      <c r="G431" s="63"/>
      <c r="H431" s="63"/>
      <c r="I431" s="63"/>
      <c r="J431" s="63"/>
      <c r="K431" s="63"/>
      <c r="L431" s="63"/>
      <c r="M431" s="63"/>
      <c r="N431" s="63"/>
      <c r="O431" s="63"/>
      <c r="P431" s="63"/>
      <c r="Q431" s="63"/>
      <c r="R431" s="63"/>
      <c r="S431" s="63"/>
      <c r="T431" s="63"/>
      <c r="U431" s="63"/>
      <c r="V431" s="63"/>
      <c r="W431" s="63"/>
      <c r="X431" s="63"/>
      <c r="Y431" s="63"/>
      <c r="Z431" s="63"/>
      <c r="AA431" s="63"/>
      <c r="AB431" s="63"/>
      <c r="AC431" s="63"/>
      <c r="AD431" s="63"/>
      <c r="AE431" s="63"/>
      <c r="AF431" s="63"/>
      <c r="AG431" s="63"/>
      <c r="AH431" s="63"/>
      <c r="AI431" s="63"/>
    </row>
    <row r="432" spans="4:35" s="66" customFormat="1">
      <c r="D432" s="75"/>
      <c r="F432" s="63"/>
      <c r="G432" s="63"/>
      <c r="H432" s="63"/>
      <c r="I432" s="63"/>
      <c r="J432" s="63"/>
      <c r="K432" s="63"/>
      <c r="L432" s="63"/>
      <c r="M432" s="63"/>
      <c r="N432" s="63"/>
      <c r="O432" s="63"/>
      <c r="P432" s="63"/>
      <c r="Q432" s="63"/>
      <c r="R432" s="63"/>
      <c r="S432" s="63"/>
      <c r="T432" s="63"/>
      <c r="U432" s="63"/>
      <c r="V432" s="63"/>
      <c r="W432" s="63"/>
      <c r="X432" s="63"/>
      <c r="Y432" s="63"/>
      <c r="Z432" s="63"/>
      <c r="AA432" s="63"/>
      <c r="AB432" s="63"/>
      <c r="AC432" s="63"/>
      <c r="AD432" s="63"/>
      <c r="AE432" s="63"/>
      <c r="AF432" s="63"/>
      <c r="AG432" s="63"/>
      <c r="AH432" s="63"/>
      <c r="AI432" s="63"/>
    </row>
    <row r="433" spans="4:35" s="66" customFormat="1">
      <c r="D433" s="75"/>
      <c r="F433" s="63"/>
      <c r="G433" s="63"/>
      <c r="H433" s="63"/>
      <c r="I433" s="63"/>
      <c r="J433" s="63"/>
      <c r="K433" s="63"/>
      <c r="L433" s="63"/>
      <c r="M433" s="63"/>
      <c r="N433" s="63"/>
      <c r="O433" s="63"/>
      <c r="P433" s="63"/>
      <c r="Q433" s="63"/>
      <c r="R433" s="63"/>
      <c r="S433" s="63"/>
      <c r="T433" s="63"/>
      <c r="U433" s="63"/>
      <c r="V433" s="63"/>
      <c r="W433" s="63"/>
      <c r="X433" s="63"/>
      <c r="Y433" s="63"/>
      <c r="Z433" s="63"/>
      <c r="AA433" s="63"/>
      <c r="AB433" s="63"/>
      <c r="AC433" s="63"/>
      <c r="AD433" s="63"/>
      <c r="AE433" s="63"/>
      <c r="AF433" s="63"/>
      <c r="AG433" s="63"/>
      <c r="AH433" s="63"/>
      <c r="AI433" s="63"/>
    </row>
    <row r="434" spans="4:35" s="66" customFormat="1">
      <c r="D434" s="75"/>
      <c r="F434" s="63"/>
      <c r="G434" s="63"/>
      <c r="H434" s="63"/>
      <c r="I434" s="63"/>
      <c r="J434" s="63"/>
      <c r="K434" s="63"/>
      <c r="L434" s="63"/>
      <c r="M434" s="63"/>
      <c r="N434" s="63"/>
      <c r="O434" s="63"/>
      <c r="P434" s="63"/>
      <c r="Q434" s="63"/>
      <c r="R434" s="63"/>
      <c r="S434" s="63"/>
      <c r="T434" s="63"/>
      <c r="U434" s="63"/>
      <c r="V434" s="63"/>
      <c r="W434" s="63"/>
      <c r="X434" s="63"/>
      <c r="Y434" s="63"/>
      <c r="Z434" s="63"/>
      <c r="AA434" s="63"/>
      <c r="AB434" s="63"/>
      <c r="AC434" s="63"/>
      <c r="AD434" s="63"/>
      <c r="AE434" s="63"/>
      <c r="AF434" s="63"/>
      <c r="AG434" s="63"/>
      <c r="AH434" s="63"/>
      <c r="AI434" s="63"/>
    </row>
    <row r="435" spans="4:35" s="66" customFormat="1">
      <c r="D435" s="75"/>
      <c r="F435" s="63"/>
      <c r="G435" s="63"/>
      <c r="H435" s="63"/>
      <c r="I435" s="63"/>
      <c r="J435" s="63"/>
      <c r="K435" s="63"/>
      <c r="L435" s="63"/>
      <c r="M435" s="63"/>
      <c r="N435" s="63"/>
      <c r="O435" s="63"/>
      <c r="P435" s="63"/>
      <c r="Q435" s="63"/>
      <c r="R435" s="63"/>
      <c r="S435" s="63"/>
      <c r="T435" s="63"/>
      <c r="U435" s="63"/>
      <c r="V435" s="63"/>
      <c r="W435" s="63"/>
      <c r="X435" s="63"/>
      <c r="Y435" s="63"/>
      <c r="Z435" s="63"/>
      <c r="AA435" s="63"/>
      <c r="AB435" s="63"/>
      <c r="AC435" s="63"/>
      <c r="AD435" s="63"/>
      <c r="AE435" s="63"/>
      <c r="AF435" s="63"/>
      <c r="AG435" s="63"/>
      <c r="AH435" s="63"/>
      <c r="AI435" s="63"/>
    </row>
    <row r="436" spans="4:35" s="66" customFormat="1">
      <c r="D436" s="75"/>
      <c r="F436" s="63"/>
      <c r="G436" s="63"/>
      <c r="H436" s="63"/>
      <c r="I436" s="63"/>
      <c r="J436" s="63"/>
      <c r="K436" s="63"/>
      <c r="L436" s="63"/>
      <c r="M436" s="63"/>
      <c r="N436" s="63"/>
      <c r="O436" s="63"/>
      <c r="P436" s="63"/>
      <c r="Q436" s="63"/>
      <c r="R436" s="63"/>
      <c r="S436" s="63"/>
      <c r="T436" s="63"/>
      <c r="U436" s="63"/>
      <c r="V436" s="63"/>
      <c r="W436" s="63"/>
      <c r="X436" s="63"/>
      <c r="Y436" s="63"/>
      <c r="Z436" s="63"/>
      <c r="AA436" s="63"/>
      <c r="AB436" s="63"/>
      <c r="AC436" s="63"/>
      <c r="AD436" s="63"/>
      <c r="AE436" s="63"/>
      <c r="AF436" s="63"/>
      <c r="AG436" s="63"/>
      <c r="AH436" s="63"/>
      <c r="AI436" s="63"/>
    </row>
    <row r="437" spans="4:35" s="66" customFormat="1">
      <c r="D437" s="75"/>
      <c r="F437" s="63"/>
      <c r="G437" s="63"/>
      <c r="H437" s="63"/>
      <c r="I437" s="63"/>
      <c r="J437" s="63"/>
      <c r="K437" s="63"/>
      <c r="L437" s="63"/>
      <c r="M437" s="63"/>
      <c r="N437" s="63"/>
      <c r="O437" s="63"/>
      <c r="P437" s="63"/>
      <c r="Q437" s="63"/>
      <c r="R437" s="63"/>
      <c r="S437" s="63"/>
      <c r="T437" s="63"/>
      <c r="U437" s="63"/>
      <c r="V437" s="63"/>
      <c r="W437" s="63"/>
      <c r="X437" s="63"/>
      <c r="Y437" s="63"/>
      <c r="Z437" s="63"/>
      <c r="AA437" s="63"/>
      <c r="AB437" s="63"/>
      <c r="AC437" s="63"/>
      <c r="AD437" s="63"/>
      <c r="AE437" s="63"/>
      <c r="AF437" s="63"/>
      <c r="AG437" s="63"/>
      <c r="AH437" s="63"/>
      <c r="AI437" s="63"/>
    </row>
    <row r="438" spans="4:35" s="66" customFormat="1">
      <c r="D438" s="75"/>
      <c r="F438" s="63"/>
      <c r="G438" s="63"/>
      <c r="H438" s="63"/>
      <c r="I438" s="63"/>
      <c r="J438" s="63"/>
      <c r="K438" s="63"/>
      <c r="L438" s="63"/>
      <c r="M438" s="63"/>
      <c r="N438" s="63"/>
      <c r="O438" s="63"/>
      <c r="P438" s="63"/>
      <c r="Q438" s="63"/>
      <c r="R438" s="63"/>
      <c r="S438" s="63"/>
      <c r="T438" s="63"/>
      <c r="U438" s="63"/>
      <c r="V438" s="63"/>
      <c r="W438" s="63"/>
      <c r="X438" s="63"/>
      <c r="Y438" s="63"/>
      <c r="Z438" s="63"/>
      <c r="AA438" s="63"/>
      <c r="AB438" s="63"/>
      <c r="AC438" s="63"/>
      <c r="AD438" s="63"/>
      <c r="AE438" s="63"/>
      <c r="AF438" s="63"/>
      <c r="AG438" s="63"/>
      <c r="AH438" s="63"/>
      <c r="AI438" s="63"/>
    </row>
    <row r="439" spans="4:35" s="66" customFormat="1">
      <c r="D439" s="75"/>
      <c r="F439" s="63"/>
      <c r="G439" s="63"/>
      <c r="H439" s="63"/>
      <c r="I439" s="63"/>
      <c r="J439" s="63"/>
      <c r="K439" s="63"/>
      <c r="L439" s="63"/>
      <c r="M439" s="63"/>
      <c r="N439" s="63"/>
      <c r="O439" s="63"/>
      <c r="P439" s="63"/>
      <c r="Q439" s="63"/>
      <c r="R439" s="63"/>
      <c r="S439" s="63"/>
      <c r="T439" s="63"/>
      <c r="U439" s="63"/>
      <c r="V439" s="63"/>
      <c r="W439" s="63"/>
      <c r="X439" s="63"/>
      <c r="Y439" s="63"/>
      <c r="Z439" s="63"/>
      <c r="AA439" s="63"/>
      <c r="AB439" s="63"/>
      <c r="AC439" s="63"/>
      <c r="AD439" s="63"/>
      <c r="AE439" s="63"/>
      <c r="AF439" s="63"/>
      <c r="AG439" s="63"/>
      <c r="AH439" s="63"/>
      <c r="AI439" s="63"/>
    </row>
    <row r="440" spans="4:35" s="66" customFormat="1">
      <c r="D440" s="75"/>
      <c r="F440" s="63"/>
      <c r="G440" s="63"/>
      <c r="H440" s="63"/>
      <c r="I440" s="63"/>
      <c r="J440" s="63"/>
      <c r="K440" s="63"/>
      <c r="L440" s="63"/>
      <c r="M440" s="63"/>
      <c r="N440" s="63"/>
      <c r="O440" s="63"/>
      <c r="P440" s="63"/>
      <c r="Q440" s="63"/>
      <c r="R440" s="63"/>
      <c r="S440" s="63"/>
      <c r="T440" s="63"/>
      <c r="U440" s="63"/>
      <c r="V440" s="63"/>
      <c r="W440" s="63"/>
      <c r="X440" s="63"/>
      <c r="Y440" s="63"/>
      <c r="Z440" s="63"/>
      <c r="AA440" s="63"/>
      <c r="AB440" s="63"/>
      <c r="AC440" s="63"/>
      <c r="AD440" s="63"/>
      <c r="AE440" s="63"/>
      <c r="AF440" s="63"/>
      <c r="AG440" s="63"/>
      <c r="AH440" s="63"/>
      <c r="AI440" s="63"/>
    </row>
    <row r="441" spans="4:35" s="66" customFormat="1">
      <c r="D441" s="75"/>
      <c r="F441" s="63"/>
      <c r="G441" s="63"/>
      <c r="H441" s="63"/>
      <c r="I441" s="63"/>
      <c r="J441" s="63"/>
      <c r="K441" s="63"/>
      <c r="L441" s="63"/>
      <c r="M441" s="63"/>
      <c r="N441" s="63"/>
      <c r="O441" s="63"/>
      <c r="P441" s="63"/>
      <c r="Q441" s="63"/>
      <c r="R441" s="63"/>
      <c r="S441" s="63"/>
      <c r="T441" s="63"/>
      <c r="U441" s="63"/>
      <c r="V441" s="63"/>
      <c r="W441" s="63"/>
      <c r="X441" s="63"/>
      <c r="Y441" s="63"/>
      <c r="Z441" s="63"/>
      <c r="AA441" s="63"/>
      <c r="AB441" s="63"/>
      <c r="AC441" s="63"/>
      <c r="AD441" s="63"/>
      <c r="AE441" s="63"/>
      <c r="AF441" s="63"/>
      <c r="AG441" s="63"/>
      <c r="AH441" s="63"/>
      <c r="AI441" s="63"/>
    </row>
    <row r="442" spans="4:35" s="66" customFormat="1">
      <c r="D442" s="75"/>
      <c r="F442" s="63"/>
      <c r="G442" s="63"/>
      <c r="H442" s="63"/>
      <c r="I442" s="63"/>
      <c r="J442" s="63"/>
      <c r="K442" s="63"/>
      <c r="L442" s="63"/>
      <c r="M442" s="63"/>
      <c r="N442" s="63"/>
      <c r="O442" s="63"/>
      <c r="P442" s="63"/>
      <c r="Q442" s="63"/>
      <c r="R442" s="63"/>
      <c r="S442" s="63"/>
      <c r="T442" s="63"/>
      <c r="U442" s="63"/>
      <c r="V442" s="63"/>
      <c r="W442" s="63"/>
      <c r="X442" s="63"/>
      <c r="Y442" s="63"/>
      <c r="Z442" s="63"/>
      <c r="AA442" s="63"/>
      <c r="AB442" s="63"/>
      <c r="AC442" s="63"/>
      <c r="AD442" s="63"/>
      <c r="AE442" s="63"/>
      <c r="AF442" s="63"/>
      <c r="AG442" s="63"/>
      <c r="AH442" s="63"/>
      <c r="AI442" s="63"/>
    </row>
    <row r="443" spans="4:35" s="66" customFormat="1">
      <c r="D443" s="75"/>
      <c r="F443" s="63"/>
      <c r="G443" s="63"/>
      <c r="H443" s="63"/>
      <c r="I443" s="63"/>
      <c r="J443" s="63"/>
      <c r="K443" s="63"/>
      <c r="L443" s="63"/>
      <c r="M443" s="63"/>
      <c r="N443" s="63"/>
      <c r="O443" s="63"/>
      <c r="P443" s="63"/>
      <c r="Q443" s="63"/>
      <c r="R443" s="63"/>
      <c r="S443" s="63"/>
      <c r="T443" s="63"/>
      <c r="U443" s="63"/>
      <c r="V443" s="63"/>
      <c r="W443" s="63"/>
      <c r="X443" s="63"/>
      <c r="Y443" s="63"/>
      <c r="Z443" s="63"/>
      <c r="AA443" s="63"/>
      <c r="AB443" s="63"/>
      <c r="AC443" s="63"/>
      <c r="AD443" s="63"/>
      <c r="AE443" s="63"/>
      <c r="AF443" s="63"/>
      <c r="AG443" s="63"/>
      <c r="AH443" s="63"/>
      <c r="AI443" s="63"/>
    </row>
    <row r="444" spans="4:35" s="66" customFormat="1">
      <c r="D444" s="75"/>
      <c r="F444" s="63"/>
      <c r="G444" s="63"/>
      <c r="H444" s="63"/>
      <c r="I444" s="63"/>
      <c r="J444" s="63"/>
      <c r="K444" s="63"/>
      <c r="L444" s="63"/>
      <c r="M444" s="63"/>
      <c r="N444" s="63"/>
      <c r="O444" s="63"/>
      <c r="P444" s="63"/>
      <c r="Q444" s="63"/>
      <c r="R444" s="63"/>
      <c r="S444" s="63"/>
      <c r="T444" s="63"/>
      <c r="U444" s="63"/>
      <c r="V444" s="63"/>
      <c r="W444" s="63"/>
      <c r="X444" s="63"/>
      <c r="Y444" s="63"/>
      <c r="Z444" s="63"/>
      <c r="AA444" s="63"/>
      <c r="AB444" s="63"/>
      <c r="AC444" s="63"/>
      <c r="AD444" s="63"/>
      <c r="AE444" s="63"/>
      <c r="AF444" s="63"/>
      <c r="AG444" s="63"/>
      <c r="AH444" s="63"/>
      <c r="AI444" s="63"/>
    </row>
    <row r="445" spans="4:35" s="66" customFormat="1">
      <c r="D445" s="75"/>
      <c r="F445" s="63"/>
      <c r="G445" s="63"/>
      <c r="H445" s="63"/>
      <c r="I445" s="63"/>
      <c r="J445" s="63"/>
      <c r="K445" s="63"/>
      <c r="L445" s="63"/>
      <c r="M445" s="63"/>
      <c r="N445" s="63"/>
      <c r="O445" s="63"/>
      <c r="P445" s="63"/>
      <c r="Q445" s="63"/>
      <c r="R445" s="63"/>
      <c r="S445" s="63"/>
      <c r="T445" s="63"/>
      <c r="U445" s="63"/>
      <c r="V445" s="63"/>
      <c r="W445" s="63"/>
      <c r="X445" s="63"/>
      <c r="Y445" s="63"/>
      <c r="Z445" s="63"/>
      <c r="AA445" s="63"/>
      <c r="AB445" s="63"/>
      <c r="AC445" s="63"/>
      <c r="AD445" s="63"/>
      <c r="AE445" s="63"/>
      <c r="AF445" s="63"/>
      <c r="AG445" s="63"/>
      <c r="AH445" s="63"/>
      <c r="AI445" s="63"/>
    </row>
    <row r="446" spans="4:35" s="66" customFormat="1">
      <c r="D446" s="75"/>
      <c r="F446" s="63"/>
      <c r="G446" s="63"/>
      <c r="H446" s="63"/>
      <c r="I446" s="63"/>
      <c r="J446" s="63"/>
      <c r="K446" s="63"/>
      <c r="L446" s="63"/>
      <c r="M446" s="63"/>
      <c r="N446" s="63"/>
      <c r="O446" s="63"/>
      <c r="P446" s="63"/>
      <c r="Q446" s="63"/>
      <c r="R446" s="63"/>
      <c r="S446" s="63"/>
      <c r="T446" s="63"/>
      <c r="U446" s="63"/>
      <c r="V446" s="63"/>
      <c r="W446" s="63"/>
      <c r="X446" s="63"/>
      <c r="Y446" s="63"/>
      <c r="Z446" s="63"/>
      <c r="AA446" s="63"/>
      <c r="AB446" s="63"/>
      <c r="AC446" s="63"/>
      <c r="AD446" s="63"/>
      <c r="AE446" s="63"/>
      <c r="AF446" s="63"/>
      <c r="AG446" s="63"/>
      <c r="AH446" s="63"/>
      <c r="AI446" s="63"/>
    </row>
    <row r="447" spans="4:35" s="66" customFormat="1">
      <c r="D447" s="75"/>
      <c r="F447" s="63"/>
      <c r="G447" s="63"/>
      <c r="H447" s="63"/>
      <c r="I447" s="63"/>
      <c r="J447" s="63"/>
      <c r="K447" s="63"/>
      <c r="L447" s="63"/>
      <c r="M447" s="63"/>
      <c r="N447" s="63"/>
      <c r="O447" s="63"/>
      <c r="P447" s="63"/>
      <c r="Q447" s="63"/>
      <c r="R447" s="63"/>
      <c r="S447" s="63"/>
      <c r="T447" s="63"/>
      <c r="U447" s="63"/>
      <c r="V447" s="63"/>
      <c r="W447" s="63"/>
      <c r="X447" s="63"/>
      <c r="Y447" s="63"/>
      <c r="Z447" s="63"/>
      <c r="AA447" s="63"/>
      <c r="AB447" s="63"/>
      <c r="AC447" s="63"/>
      <c r="AD447" s="63"/>
      <c r="AE447" s="63"/>
      <c r="AF447" s="63"/>
      <c r="AG447" s="63"/>
      <c r="AH447" s="63"/>
      <c r="AI447" s="63"/>
    </row>
    <row r="448" spans="4:35" s="66" customFormat="1">
      <c r="D448" s="75"/>
      <c r="F448" s="63"/>
      <c r="G448" s="63"/>
      <c r="H448" s="63"/>
      <c r="I448" s="63"/>
      <c r="J448" s="63"/>
      <c r="K448" s="63"/>
      <c r="L448" s="63"/>
      <c r="M448" s="63"/>
      <c r="N448" s="63"/>
      <c r="O448" s="63"/>
      <c r="P448" s="63"/>
      <c r="Q448" s="63"/>
      <c r="R448" s="63"/>
      <c r="S448" s="63"/>
      <c r="T448" s="63"/>
      <c r="U448" s="63"/>
      <c r="V448" s="63"/>
      <c r="W448" s="63"/>
      <c r="X448" s="63"/>
      <c r="Y448" s="63"/>
      <c r="Z448" s="63"/>
      <c r="AA448" s="63"/>
      <c r="AB448" s="63"/>
      <c r="AC448" s="63"/>
      <c r="AD448" s="63"/>
      <c r="AE448" s="63"/>
      <c r="AF448" s="63"/>
      <c r="AG448" s="63"/>
      <c r="AH448" s="63"/>
      <c r="AI448" s="63"/>
    </row>
    <row r="449" spans="4:35" s="66" customFormat="1">
      <c r="D449" s="75"/>
      <c r="F449" s="63"/>
      <c r="G449" s="63"/>
      <c r="H449" s="63"/>
      <c r="I449" s="63"/>
      <c r="J449" s="63"/>
      <c r="K449" s="63"/>
      <c r="L449" s="63"/>
      <c r="M449" s="63"/>
      <c r="N449" s="63"/>
      <c r="O449" s="63"/>
      <c r="P449" s="63"/>
      <c r="Q449" s="63"/>
      <c r="R449" s="63"/>
      <c r="S449" s="63"/>
      <c r="T449" s="63"/>
      <c r="U449" s="63"/>
      <c r="V449" s="63"/>
      <c r="W449" s="63"/>
      <c r="X449" s="63"/>
      <c r="Y449" s="63"/>
      <c r="Z449" s="63"/>
      <c r="AA449" s="63"/>
      <c r="AB449" s="63"/>
      <c r="AC449" s="63"/>
      <c r="AD449" s="63"/>
      <c r="AE449" s="63"/>
      <c r="AF449" s="63"/>
      <c r="AG449" s="63"/>
      <c r="AH449" s="63"/>
      <c r="AI449" s="63"/>
    </row>
    <row r="450" spans="4:35" s="66" customFormat="1">
      <c r="D450" s="75"/>
      <c r="F450" s="63"/>
      <c r="G450" s="63"/>
      <c r="H450" s="63"/>
      <c r="I450" s="63"/>
      <c r="J450" s="63"/>
      <c r="K450" s="63"/>
      <c r="L450" s="63"/>
      <c r="M450" s="63"/>
      <c r="N450" s="63"/>
      <c r="O450" s="63"/>
      <c r="P450" s="63"/>
      <c r="Q450" s="63"/>
      <c r="R450" s="63"/>
      <c r="S450" s="63"/>
      <c r="T450" s="63"/>
      <c r="U450" s="63"/>
      <c r="V450" s="63"/>
      <c r="W450" s="63"/>
      <c r="X450" s="63"/>
      <c r="Y450" s="63"/>
      <c r="Z450" s="63"/>
      <c r="AA450" s="63"/>
      <c r="AB450" s="63"/>
      <c r="AC450" s="63"/>
      <c r="AD450" s="63"/>
      <c r="AE450" s="63"/>
      <c r="AF450" s="63"/>
      <c r="AG450" s="63"/>
      <c r="AH450" s="63"/>
      <c r="AI450" s="63"/>
    </row>
    <row r="451" spans="4:35" s="66" customFormat="1">
      <c r="D451" s="75"/>
      <c r="F451" s="63"/>
      <c r="G451" s="63"/>
      <c r="H451" s="63"/>
      <c r="I451" s="63"/>
      <c r="J451" s="63"/>
      <c r="K451" s="63"/>
      <c r="L451" s="63"/>
      <c r="M451" s="63"/>
      <c r="N451" s="63"/>
      <c r="O451" s="63"/>
      <c r="P451" s="63"/>
      <c r="Q451" s="63"/>
      <c r="R451" s="63"/>
      <c r="S451" s="63"/>
      <c r="T451" s="63"/>
      <c r="U451" s="63"/>
      <c r="V451" s="63"/>
      <c r="W451" s="63"/>
      <c r="X451" s="63"/>
      <c r="Y451" s="63"/>
      <c r="Z451" s="63"/>
      <c r="AA451" s="63"/>
      <c r="AB451" s="63"/>
      <c r="AC451" s="63"/>
      <c r="AD451" s="63"/>
      <c r="AE451" s="63"/>
      <c r="AF451" s="63"/>
      <c r="AG451" s="63"/>
      <c r="AH451" s="63"/>
      <c r="AI451" s="63"/>
    </row>
    <row r="452" spans="4:35" s="66" customFormat="1">
      <c r="D452" s="75"/>
      <c r="F452" s="63"/>
      <c r="G452" s="63"/>
      <c r="H452" s="63"/>
      <c r="I452" s="63"/>
      <c r="J452" s="63"/>
      <c r="K452" s="63"/>
      <c r="L452" s="63"/>
      <c r="M452" s="63"/>
      <c r="N452" s="63"/>
      <c r="O452" s="63"/>
      <c r="P452" s="63"/>
      <c r="Q452" s="63"/>
      <c r="R452" s="63"/>
      <c r="S452" s="63"/>
      <c r="T452" s="63"/>
      <c r="U452" s="63"/>
      <c r="V452" s="63"/>
      <c r="W452" s="63"/>
      <c r="X452" s="63"/>
      <c r="Y452" s="63"/>
      <c r="Z452" s="63"/>
      <c r="AA452" s="63"/>
      <c r="AB452" s="63"/>
      <c r="AC452" s="63"/>
      <c r="AD452" s="63"/>
      <c r="AE452" s="63"/>
      <c r="AF452" s="63"/>
      <c r="AG452" s="63"/>
      <c r="AH452" s="63"/>
      <c r="AI452" s="63"/>
    </row>
    <row r="453" spans="4:35" s="66" customFormat="1">
      <c r="D453" s="75"/>
      <c r="F453" s="63"/>
      <c r="G453" s="63"/>
      <c r="H453" s="63"/>
      <c r="I453" s="63"/>
      <c r="J453" s="63"/>
      <c r="K453" s="63"/>
      <c r="L453" s="63"/>
      <c r="M453" s="63"/>
      <c r="N453" s="63"/>
      <c r="O453" s="63"/>
      <c r="P453" s="63"/>
      <c r="Q453" s="63"/>
      <c r="R453" s="63"/>
      <c r="S453" s="63"/>
      <c r="T453" s="63"/>
      <c r="U453" s="63"/>
      <c r="V453" s="63"/>
      <c r="W453" s="63"/>
      <c r="X453" s="63"/>
      <c r="Y453" s="63"/>
      <c r="Z453" s="63"/>
      <c r="AA453" s="63"/>
      <c r="AB453" s="63"/>
      <c r="AC453" s="63"/>
      <c r="AD453" s="63"/>
      <c r="AE453" s="63"/>
      <c r="AF453" s="63"/>
      <c r="AG453" s="63"/>
      <c r="AH453" s="63"/>
      <c r="AI453" s="63"/>
    </row>
    <row r="454" spans="4:35" s="66" customFormat="1">
      <c r="D454" s="75"/>
      <c r="F454" s="63"/>
      <c r="G454" s="63"/>
      <c r="H454" s="63"/>
      <c r="I454" s="63"/>
      <c r="J454" s="63"/>
      <c r="K454" s="63"/>
      <c r="L454" s="63"/>
      <c r="M454" s="63"/>
      <c r="N454" s="63"/>
      <c r="O454" s="63"/>
      <c r="P454" s="63"/>
      <c r="Q454" s="63"/>
      <c r="R454" s="63"/>
      <c r="S454" s="63"/>
      <c r="T454" s="63"/>
      <c r="U454" s="63"/>
      <c r="V454" s="63"/>
      <c r="W454" s="63"/>
      <c r="X454" s="63"/>
      <c r="Y454" s="63"/>
      <c r="Z454" s="63"/>
      <c r="AA454" s="63"/>
      <c r="AB454" s="63"/>
      <c r="AC454" s="63"/>
      <c r="AD454" s="63"/>
      <c r="AE454" s="63"/>
      <c r="AF454" s="63"/>
      <c r="AG454" s="63"/>
      <c r="AH454" s="63"/>
      <c r="AI454" s="63"/>
    </row>
    <row r="455" spans="4:35" s="66" customFormat="1">
      <c r="D455" s="75"/>
      <c r="F455" s="63"/>
      <c r="G455" s="63"/>
      <c r="H455" s="63"/>
      <c r="I455" s="63"/>
      <c r="J455" s="63"/>
      <c r="K455" s="63"/>
      <c r="L455" s="63"/>
      <c r="M455" s="63"/>
      <c r="N455" s="63"/>
      <c r="O455" s="63"/>
      <c r="P455" s="63"/>
      <c r="Q455" s="63"/>
      <c r="R455" s="63"/>
      <c r="S455" s="63"/>
      <c r="T455" s="63"/>
      <c r="U455" s="63"/>
      <c r="V455" s="63"/>
      <c r="W455" s="63"/>
      <c r="X455" s="63"/>
      <c r="Y455" s="63"/>
      <c r="Z455" s="63"/>
      <c r="AA455" s="63"/>
      <c r="AB455" s="63"/>
      <c r="AC455" s="63"/>
      <c r="AD455" s="63"/>
      <c r="AE455" s="63"/>
      <c r="AF455" s="63"/>
      <c r="AG455" s="63"/>
      <c r="AH455" s="63"/>
      <c r="AI455" s="63"/>
    </row>
    <row r="456" spans="4:35" s="66" customFormat="1">
      <c r="D456" s="75"/>
      <c r="F456" s="63"/>
      <c r="G456" s="63"/>
      <c r="H456" s="63"/>
      <c r="I456" s="63"/>
      <c r="J456" s="63"/>
      <c r="K456" s="63"/>
      <c r="L456" s="63"/>
      <c r="M456" s="63"/>
      <c r="N456" s="63"/>
      <c r="O456" s="63"/>
      <c r="P456" s="63"/>
      <c r="Q456" s="63"/>
      <c r="R456" s="63"/>
      <c r="S456" s="63"/>
      <c r="T456" s="63"/>
      <c r="U456" s="63"/>
      <c r="V456" s="63"/>
      <c r="W456" s="63"/>
      <c r="X456" s="63"/>
      <c r="Y456" s="63"/>
      <c r="Z456" s="63"/>
      <c r="AA456" s="63"/>
      <c r="AB456" s="63"/>
      <c r="AC456" s="63"/>
      <c r="AD456" s="63"/>
      <c r="AE456" s="63"/>
      <c r="AF456" s="63"/>
      <c r="AG456" s="63"/>
      <c r="AH456" s="63"/>
      <c r="AI456" s="63"/>
    </row>
    <row r="457" spans="4:35" s="66" customFormat="1">
      <c r="D457" s="75"/>
      <c r="F457" s="63"/>
      <c r="G457" s="63"/>
      <c r="H457" s="63"/>
      <c r="I457" s="63"/>
      <c r="J457" s="63"/>
      <c r="K457" s="63"/>
      <c r="L457" s="63"/>
      <c r="M457" s="63"/>
      <c r="N457" s="63"/>
      <c r="O457" s="63"/>
      <c r="P457" s="63"/>
      <c r="Q457" s="63"/>
      <c r="R457" s="63"/>
      <c r="S457" s="63"/>
      <c r="T457" s="63"/>
      <c r="U457" s="63"/>
      <c r="V457" s="63"/>
      <c r="W457" s="63"/>
      <c r="X457" s="63"/>
      <c r="Y457" s="63"/>
      <c r="Z457" s="63"/>
      <c r="AA457" s="63"/>
      <c r="AB457" s="63"/>
      <c r="AC457" s="63"/>
      <c r="AD457" s="63"/>
      <c r="AE457" s="63"/>
      <c r="AF457" s="63"/>
      <c r="AG457" s="63"/>
      <c r="AH457" s="63"/>
      <c r="AI457" s="63"/>
    </row>
    <row r="458" spans="4:35" s="66" customFormat="1">
      <c r="D458" s="75"/>
      <c r="F458" s="63"/>
      <c r="G458" s="63"/>
      <c r="H458" s="63"/>
      <c r="I458" s="63"/>
      <c r="J458" s="63"/>
      <c r="K458" s="63"/>
      <c r="L458" s="63"/>
      <c r="M458" s="63"/>
      <c r="N458" s="63"/>
      <c r="O458" s="63"/>
      <c r="P458" s="63"/>
      <c r="Q458" s="63"/>
      <c r="R458" s="63"/>
      <c r="S458" s="63"/>
      <c r="T458" s="63"/>
      <c r="U458" s="63"/>
      <c r="V458" s="63"/>
      <c r="W458" s="63"/>
      <c r="X458" s="63"/>
      <c r="Y458" s="63"/>
      <c r="Z458" s="63"/>
      <c r="AA458" s="63"/>
      <c r="AB458" s="63"/>
      <c r="AC458" s="63"/>
      <c r="AD458" s="63"/>
      <c r="AE458" s="63"/>
      <c r="AF458" s="63"/>
      <c r="AG458" s="63"/>
      <c r="AH458" s="63"/>
      <c r="AI458" s="63"/>
    </row>
    <row r="459" spans="4:35" s="66" customFormat="1">
      <c r="D459" s="75"/>
      <c r="F459" s="63"/>
      <c r="G459" s="63"/>
      <c r="H459" s="63"/>
      <c r="I459" s="63"/>
      <c r="J459" s="63"/>
      <c r="K459" s="63"/>
      <c r="L459" s="63"/>
      <c r="M459" s="63"/>
      <c r="N459" s="63"/>
      <c r="O459" s="63"/>
      <c r="P459" s="63"/>
      <c r="Q459" s="63"/>
      <c r="R459" s="63"/>
      <c r="S459" s="63"/>
      <c r="T459" s="63"/>
      <c r="U459" s="63"/>
      <c r="V459" s="63"/>
      <c r="W459" s="63"/>
      <c r="X459" s="63"/>
      <c r="Y459" s="63"/>
      <c r="Z459" s="63"/>
      <c r="AA459" s="63"/>
      <c r="AB459" s="63"/>
      <c r="AC459" s="63"/>
      <c r="AD459" s="63"/>
      <c r="AE459" s="63"/>
      <c r="AF459" s="63"/>
      <c r="AG459" s="63"/>
      <c r="AH459" s="63"/>
      <c r="AI459" s="63"/>
    </row>
    <row r="460" spans="4:35" s="66" customFormat="1">
      <c r="D460" s="75"/>
      <c r="F460" s="63"/>
      <c r="G460" s="63"/>
      <c r="H460" s="63"/>
      <c r="I460" s="63"/>
      <c r="J460" s="63"/>
      <c r="K460" s="63"/>
      <c r="L460" s="63"/>
      <c r="M460" s="63"/>
      <c r="N460" s="63"/>
      <c r="O460" s="63"/>
      <c r="P460" s="63"/>
      <c r="Q460" s="63"/>
      <c r="R460" s="63"/>
      <c r="S460" s="63"/>
      <c r="T460" s="63"/>
      <c r="U460" s="63"/>
      <c r="V460" s="63"/>
      <c r="W460" s="63"/>
      <c r="X460" s="63"/>
      <c r="Y460" s="63"/>
      <c r="Z460" s="63"/>
      <c r="AA460" s="63"/>
      <c r="AB460" s="63"/>
      <c r="AC460" s="63"/>
      <c r="AD460" s="63"/>
      <c r="AE460" s="63"/>
      <c r="AF460" s="63"/>
      <c r="AG460" s="63"/>
      <c r="AH460" s="63"/>
      <c r="AI460" s="63"/>
    </row>
    <row r="461" spans="4:35" s="66" customFormat="1">
      <c r="D461" s="75"/>
      <c r="F461" s="63"/>
      <c r="G461" s="63"/>
      <c r="H461" s="63"/>
      <c r="I461" s="63"/>
      <c r="J461" s="63"/>
      <c r="K461" s="63"/>
      <c r="L461" s="63"/>
      <c r="M461" s="63"/>
      <c r="N461" s="63"/>
      <c r="O461" s="63"/>
      <c r="P461" s="63"/>
      <c r="Q461" s="63"/>
      <c r="R461" s="63"/>
      <c r="S461" s="63"/>
      <c r="T461" s="63"/>
      <c r="U461" s="63"/>
      <c r="V461" s="63"/>
      <c r="W461" s="63"/>
      <c r="X461" s="63"/>
      <c r="Y461" s="63"/>
      <c r="Z461" s="63"/>
      <c r="AA461" s="63"/>
      <c r="AB461" s="63"/>
      <c r="AC461" s="63"/>
      <c r="AD461" s="63"/>
      <c r="AE461" s="63"/>
      <c r="AF461" s="63"/>
      <c r="AG461" s="63"/>
      <c r="AH461" s="63"/>
      <c r="AI461" s="63"/>
    </row>
    <row r="462" spans="4:35" s="66" customFormat="1">
      <c r="D462" s="75"/>
      <c r="F462" s="63"/>
      <c r="G462" s="63"/>
      <c r="H462" s="63"/>
      <c r="I462" s="63"/>
      <c r="J462" s="63"/>
      <c r="K462" s="63"/>
      <c r="L462" s="63"/>
      <c r="M462" s="63"/>
      <c r="N462" s="63"/>
      <c r="O462" s="63"/>
      <c r="P462" s="63"/>
      <c r="Q462" s="63"/>
      <c r="R462" s="63"/>
      <c r="S462" s="63"/>
      <c r="T462" s="63"/>
      <c r="U462" s="63"/>
      <c r="V462" s="63"/>
      <c r="W462" s="63"/>
      <c r="X462" s="63"/>
      <c r="Y462" s="63"/>
      <c r="Z462" s="63"/>
      <c r="AA462" s="63"/>
      <c r="AB462" s="63"/>
      <c r="AC462" s="63"/>
      <c r="AD462" s="63"/>
      <c r="AE462" s="63"/>
      <c r="AF462" s="63"/>
      <c r="AG462" s="63"/>
      <c r="AH462" s="63"/>
      <c r="AI462" s="63"/>
    </row>
    <row r="463" spans="4:35" s="66" customFormat="1">
      <c r="D463" s="75"/>
      <c r="F463" s="63"/>
      <c r="G463" s="63"/>
      <c r="H463" s="63"/>
      <c r="I463" s="63"/>
      <c r="J463" s="63"/>
      <c r="K463" s="63"/>
      <c r="L463" s="63"/>
      <c r="M463" s="63"/>
      <c r="N463" s="63"/>
      <c r="O463" s="63"/>
      <c r="P463" s="63"/>
      <c r="Q463" s="63"/>
      <c r="R463" s="63"/>
      <c r="S463" s="63"/>
      <c r="T463" s="63"/>
      <c r="U463" s="63"/>
      <c r="V463" s="63"/>
      <c r="W463" s="63"/>
      <c r="X463" s="63"/>
      <c r="Y463" s="63"/>
      <c r="Z463" s="63"/>
      <c r="AA463" s="63"/>
      <c r="AB463" s="63"/>
      <c r="AC463" s="63"/>
      <c r="AD463" s="63"/>
      <c r="AE463" s="63"/>
      <c r="AF463" s="63"/>
      <c r="AG463" s="63"/>
      <c r="AH463" s="63"/>
      <c r="AI463" s="63"/>
    </row>
    <row r="464" spans="4:35" s="66" customFormat="1">
      <c r="D464" s="75"/>
      <c r="F464" s="63"/>
      <c r="G464" s="63"/>
      <c r="H464" s="63"/>
      <c r="I464" s="63"/>
      <c r="J464" s="63"/>
      <c r="K464" s="63"/>
      <c r="L464" s="63"/>
      <c r="M464" s="63"/>
      <c r="N464" s="63"/>
      <c r="O464" s="63"/>
      <c r="P464" s="63"/>
      <c r="Q464" s="63"/>
      <c r="R464" s="63"/>
      <c r="S464" s="63"/>
      <c r="T464" s="63"/>
      <c r="U464" s="63"/>
      <c r="V464" s="63"/>
      <c r="W464" s="63"/>
      <c r="X464" s="63"/>
      <c r="Y464" s="63"/>
      <c r="Z464" s="63"/>
      <c r="AA464" s="63"/>
      <c r="AB464" s="63"/>
      <c r="AC464" s="63"/>
      <c r="AD464" s="63"/>
      <c r="AE464" s="63"/>
      <c r="AF464" s="63"/>
      <c r="AG464" s="63"/>
      <c r="AH464" s="63"/>
      <c r="AI464" s="63"/>
    </row>
    <row r="465" spans="4:35" s="66" customFormat="1">
      <c r="D465" s="75"/>
      <c r="F465" s="63"/>
      <c r="G465" s="63"/>
      <c r="H465" s="63"/>
      <c r="I465" s="63"/>
      <c r="J465" s="63"/>
      <c r="K465" s="63"/>
      <c r="L465" s="63"/>
      <c r="M465" s="63"/>
      <c r="N465" s="63"/>
      <c r="O465" s="63"/>
      <c r="P465" s="63"/>
      <c r="Q465" s="63"/>
      <c r="R465" s="63"/>
      <c r="S465" s="63"/>
      <c r="T465" s="63"/>
      <c r="U465" s="63"/>
      <c r="V465" s="63"/>
      <c r="W465" s="63"/>
      <c r="X465" s="63"/>
      <c r="Y465" s="63"/>
      <c r="Z465" s="63"/>
      <c r="AA465" s="63"/>
      <c r="AB465" s="63"/>
      <c r="AC465" s="63"/>
      <c r="AD465" s="63"/>
      <c r="AE465" s="63"/>
      <c r="AF465" s="63"/>
      <c r="AG465" s="63"/>
      <c r="AH465" s="63"/>
      <c r="AI465" s="63"/>
    </row>
    <row r="466" spans="4:35" s="66" customFormat="1">
      <c r="D466" s="75"/>
      <c r="F466" s="63"/>
      <c r="G466" s="63"/>
      <c r="H466" s="63"/>
      <c r="I466" s="63"/>
      <c r="J466" s="63"/>
      <c r="K466" s="63"/>
      <c r="L466" s="63"/>
      <c r="M466" s="63"/>
      <c r="N466" s="63"/>
      <c r="O466" s="63"/>
      <c r="P466" s="63"/>
      <c r="Q466" s="63"/>
      <c r="R466" s="63"/>
      <c r="S466" s="63"/>
      <c r="T466" s="63"/>
      <c r="U466" s="63"/>
      <c r="V466" s="63"/>
      <c r="W466" s="63"/>
      <c r="X466" s="63"/>
      <c r="Y466" s="63"/>
      <c r="Z466" s="63"/>
      <c r="AA466" s="63"/>
      <c r="AB466" s="63"/>
      <c r="AC466" s="63"/>
      <c r="AD466" s="63"/>
      <c r="AE466" s="63"/>
      <c r="AF466" s="63"/>
      <c r="AG466" s="63"/>
      <c r="AH466" s="63"/>
      <c r="AI466" s="63"/>
    </row>
    <row r="467" spans="4:35" s="66" customFormat="1">
      <c r="D467" s="75"/>
      <c r="F467" s="63"/>
      <c r="G467" s="63"/>
      <c r="H467" s="63"/>
      <c r="I467" s="63"/>
      <c r="J467" s="63"/>
      <c r="K467" s="63"/>
      <c r="L467" s="63"/>
      <c r="M467" s="63"/>
      <c r="N467" s="63"/>
      <c r="O467" s="63"/>
      <c r="P467" s="63"/>
      <c r="Q467" s="63"/>
      <c r="R467" s="63"/>
      <c r="S467" s="63"/>
      <c r="T467" s="63"/>
      <c r="U467" s="63"/>
      <c r="V467" s="63"/>
      <c r="W467" s="63"/>
      <c r="X467" s="63"/>
      <c r="Y467" s="63"/>
      <c r="Z467" s="63"/>
      <c r="AA467" s="63"/>
      <c r="AB467" s="63"/>
      <c r="AC467" s="63"/>
      <c r="AD467" s="63"/>
      <c r="AE467" s="63"/>
      <c r="AF467" s="63"/>
      <c r="AG467" s="63"/>
      <c r="AH467" s="63"/>
      <c r="AI467" s="63"/>
    </row>
    <row r="468" spans="4:35" s="66" customFormat="1">
      <c r="D468" s="75"/>
      <c r="F468" s="63"/>
      <c r="G468" s="63"/>
      <c r="H468" s="63"/>
      <c r="I468" s="63"/>
      <c r="J468" s="63"/>
      <c r="K468" s="63"/>
      <c r="L468" s="63"/>
      <c r="M468" s="63"/>
      <c r="N468" s="63"/>
      <c r="O468" s="63"/>
      <c r="P468" s="63"/>
      <c r="Q468" s="63"/>
      <c r="R468" s="63"/>
      <c r="S468" s="63"/>
      <c r="T468" s="63"/>
      <c r="U468" s="63"/>
      <c r="V468" s="63"/>
      <c r="W468" s="63"/>
      <c r="X468" s="63"/>
      <c r="Y468" s="63"/>
      <c r="Z468" s="63"/>
      <c r="AA468" s="63"/>
      <c r="AB468" s="63"/>
      <c r="AC468" s="63"/>
      <c r="AD468" s="63"/>
      <c r="AE468" s="63"/>
      <c r="AF468" s="63"/>
      <c r="AG468" s="63"/>
      <c r="AH468" s="63"/>
      <c r="AI468" s="63"/>
    </row>
    <row r="469" spans="4:35" s="66" customFormat="1">
      <c r="D469" s="75"/>
      <c r="F469" s="63"/>
      <c r="G469" s="63"/>
      <c r="H469" s="63"/>
      <c r="I469" s="63"/>
      <c r="J469" s="63"/>
      <c r="K469" s="63"/>
      <c r="L469" s="63"/>
      <c r="M469" s="63"/>
      <c r="N469" s="63"/>
      <c r="O469" s="63"/>
      <c r="P469" s="63"/>
      <c r="Q469" s="63"/>
      <c r="R469" s="63"/>
      <c r="S469" s="63"/>
      <c r="T469" s="63"/>
      <c r="U469" s="63"/>
      <c r="V469" s="63"/>
      <c r="W469" s="63"/>
      <c r="X469" s="63"/>
      <c r="Y469" s="63"/>
      <c r="Z469" s="63"/>
      <c r="AA469" s="63"/>
      <c r="AB469" s="63"/>
      <c r="AC469" s="63"/>
      <c r="AD469" s="63"/>
      <c r="AE469" s="63"/>
      <c r="AF469" s="63"/>
      <c r="AG469" s="63"/>
      <c r="AH469" s="63"/>
      <c r="AI469" s="63"/>
    </row>
    <row r="470" spans="4:35" s="66" customFormat="1">
      <c r="D470" s="75"/>
      <c r="F470" s="63"/>
      <c r="G470" s="63"/>
      <c r="H470" s="63"/>
      <c r="I470" s="63"/>
      <c r="J470" s="63"/>
      <c r="K470" s="63"/>
      <c r="L470" s="63"/>
      <c r="M470" s="63"/>
      <c r="N470" s="63"/>
      <c r="O470" s="63"/>
      <c r="P470" s="63"/>
      <c r="Q470" s="63"/>
      <c r="R470" s="63"/>
      <c r="S470" s="63"/>
      <c r="T470" s="63"/>
      <c r="U470" s="63"/>
      <c r="V470" s="63"/>
      <c r="W470" s="63"/>
      <c r="X470" s="63"/>
      <c r="Y470" s="63"/>
      <c r="Z470" s="63"/>
      <c r="AA470" s="63"/>
      <c r="AB470" s="63"/>
      <c r="AC470" s="63"/>
      <c r="AD470" s="63"/>
      <c r="AE470" s="63"/>
      <c r="AF470" s="63"/>
      <c r="AG470" s="63"/>
      <c r="AH470" s="63"/>
      <c r="AI470" s="63"/>
    </row>
    <row r="471" spans="4:35" s="66" customFormat="1">
      <c r="D471" s="75"/>
      <c r="F471" s="63"/>
      <c r="G471" s="63"/>
      <c r="H471" s="63"/>
      <c r="I471" s="63"/>
      <c r="J471" s="63"/>
      <c r="K471" s="63"/>
      <c r="L471" s="63"/>
      <c r="M471" s="63"/>
      <c r="N471" s="63"/>
      <c r="O471" s="63"/>
      <c r="P471" s="63"/>
      <c r="Q471" s="63"/>
      <c r="R471" s="63"/>
      <c r="S471" s="63"/>
      <c r="T471" s="63"/>
      <c r="U471" s="63"/>
      <c r="V471" s="63"/>
      <c r="W471" s="63"/>
      <c r="X471" s="63"/>
      <c r="Y471" s="63"/>
      <c r="Z471" s="63"/>
      <c r="AA471" s="63"/>
      <c r="AB471" s="63"/>
      <c r="AC471" s="63"/>
      <c r="AD471" s="63"/>
      <c r="AE471" s="63"/>
      <c r="AF471" s="63"/>
      <c r="AG471" s="63"/>
      <c r="AH471" s="63"/>
      <c r="AI471" s="63"/>
    </row>
    <row r="472" spans="4:35" s="66" customFormat="1">
      <c r="D472" s="75"/>
      <c r="F472" s="63"/>
      <c r="G472" s="63"/>
      <c r="H472" s="63"/>
      <c r="I472" s="63"/>
      <c r="J472" s="63"/>
      <c r="K472" s="63"/>
      <c r="L472" s="63"/>
      <c r="M472" s="63"/>
      <c r="N472" s="63"/>
      <c r="O472" s="63"/>
      <c r="P472" s="63"/>
      <c r="Q472" s="63"/>
      <c r="R472" s="63"/>
      <c r="S472" s="63"/>
      <c r="T472" s="63"/>
      <c r="U472" s="63"/>
      <c r="V472" s="63"/>
      <c r="W472" s="63"/>
      <c r="X472" s="63"/>
      <c r="Y472" s="63"/>
      <c r="Z472" s="63"/>
      <c r="AA472" s="63"/>
      <c r="AB472" s="63"/>
      <c r="AC472" s="63"/>
      <c r="AD472" s="63"/>
      <c r="AE472" s="63"/>
      <c r="AF472" s="63"/>
      <c r="AG472" s="63"/>
      <c r="AH472" s="63"/>
      <c r="AI472" s="63"/>
    </row>
    <row r="473" spans="4:35" s="66" customFormat="1">
      <c r="D473" s="75"/>
      <c r="F473" s="63"/>
      <c r="G473" s="63"/>
      <c r="H473" s="63"/>
      <c r="I473" s="63"/>
      <c r="J473" s="63"/>
      <c r="K473" s="63"/>
      <c r="L473" s="63"/>
      <c r="M473" s="63"/>
      <c r="N473" s="63"/>
      <c r="O473" s="63"/>
      <c r="P473" s="63"/>
      <c r="Q473" s="63"/>
      <c r="R473" s="63"/>
      <c r="S473" s="63"/>
      <c r="T473" s="63"/>
      <c r="U473" s="63"/>
      <c r="V473" s="63"/>
      <c r="W473" s="63"/>
      <c r="X473" s="63"/>
      <c r="Y473" s="63"/>
      <c r="Z473" s="63"/>
      <c r="AA473" s="63"/>
      <c r="AB473" s="63"/>
      <c r="AC473" s="63"/>
      <c r="AD473" s="63"/>
      <c r="AE473" s="63"/>
      <c r="AF473" s="63"/>
      <c r="AG473" s="63"/>
      <c r="AH473" s="63"/>
      <c r="AI473" s="63"/>
    </row>
    <row r="474" spans="4:35" s="66" customFormat="1">
      <c r="D474" s="75"/>
      <c r="F474" s="63"/>
      <c r="G474" s="63"/>
      <c r="H474" s="63"/>
      <c r="I474" s="63"/>
      <c r="J474" s="63"/>
      <c r="K474" s="63"/>
      <c r="L474" s="63"/>
      <c r="M474" s="63"/>
      <c r="N474" s="63"/>
      <c r="O474" s="63"/>
      <c r="P474" s="63"/>
      <c r="Q474" s="63"/>
      <c r="R474" s="63"/>
      <c r="S474" s="63"/>
      <c r="T474" s="63"/>
      <c r="U474" s="63"/>
      <c r="V474" s="63"/>
      <c r="W474" s="63"/>
      <c r="X474" s="63"/>
      <c r="Y474" s="63"/>
      <c r="Z474" s="63"/>
      <c r="AA474" s="63"/>
      <c r="AB474" s="63"/>
      <c r="AC474" s="63"/>
      <c r="AD474" s="63"/>
      <c r="AE474" s="63"/>
      <c r="AF474" s="63"/>
      <c r="AG474" s="63"/>
      <c r="AH474" s="63"/>
      <c r="AI474" s="63"/>
    </row>
    <row r="475" spans="4:35" s="66" customFormat="1">
      <c r="D475" s="75"/>
      <c r="F475" s="63"/>
      <c r="G475" s="63"/>
      <c r="H475" s="63"/>
      <c r="I475" s="63"/>
      <c r="J475" s="63"/>
      <c r="K475" s="63"/>
      <c r="L475" s="63"/>
      <c r="M475" s="63"/>
      <c r="N475" s="63"/>
      <c r="O475" s="63"/>
      <c r="P475" s="63"/>
      <c r="Q475" s="63"/>
      <c r="R475" s="63"/>
      <c r="S475" s="63"/>
      <c r="T475" s="63"/>
      <c r="U475" s="63"/>
      <c r="V475" s="63"/>
      <c r="W475" s="63"/>
      <c r="X475" s="63"/>
      <c r="Y475" s="63"/>
      <c r="Z475" s="63"/>
      <c r="AA475" s="63"/>
      <c r="AB475" s="63"/>
      <c r="AC475" s="63"/>
      <c r="AD475" s="63"/>
      <c r="AE475" s="63"/>
      <c r="AF475" s="63"/>
      <c r="AG475" s="63"/>
      <c r="AH475" s="63"/>
      <c r="AI475" s="63"/>
    </row>
    <row r="476" spans="4:35" s="66" customFormat="1">
      <c r="D476" s="75"/>
      <c r="F476" s="63"/>
      <c r="G476" s="63"/>
      <c r="H476" s="63"/>
      <c r="I476" s="63"/>
      <c r="J476" s="63"/>
      <c r="K476" s="63"/>
      <c r="L476" s="63"/>
      <c r="M476" s="63"/>
      <c r="N476" s="63"/>
      <c r="O476" s="63"/>
      <c r="P476" s="63"/>
      <c r="Q476" s="63"/>
      <c r="R476" s="63"/>
      <c r="S476" s="63"/>
      <c r="T476" s="63"/>
      <c r="U476" s="63"/>
      <c r="V476" s="63"/>
      <c r="W476" s="63"/>
      <c r="X476" s="63"/>
      <c r="Y476" s="63"/>
      <c r="Z476" s="63"/>
      <c r="AA476" s="63"/>
      <c r="AB476" s="63"/>
      <c r="AC476" s="63"/>
      <c r="AD476" s="63"/>
      <c r="AE476" s="63"/>
      <c r="AF476" s="63"/>
      <c r="AG476" s="63"/>
      <c r="AH476" s="63"/>
      <c r="AI476" s="63"/>
    </row>
    <row r="477" spans="4:35" s="66" customFormat="1">
      <c r="D477" s="75"/>
      <c r="F477" s="63"/>
      <c r="G477" s="63"/>
      <c r="H477" s="63"/>
      <c r="I477" s="63"/>
      <c r="J477" s="63"/>
      <c r="K477" s="63"/>
      <c r="L477" s="63"/>
      <c r="M477" s="63"/>
      <c r="N477" s="63"/>
      <c r="O477" s="63"/>
      <c r="P477" s="63"/>
      <c r="Q477" s="63"/>
      <c r="R477" s="63"/>
      <c r="S477" s="63"/>
      <c r="T477" s="63"/>
      <c r="U477" s="63"/>
      <c r="V477" s="63"/>
      <c r="W477" s="63"/>
      <c r="X477" s="63"/>
      <c r="Y477" s="63"/>
      <c r="Z477" s="63"/>
      <c r="AA477" s="63"/>
      <c r="AB477" s="63"/>
      <c r="AC477" s="63"/>
      <c r="AD477" s="63"/>
      <c r="AE477" s="63"/>
      <c r="AF477" s="63"/>
      <c r="AG477" s="63"/>
      <c r="AH477" s="63"/>
      <c r="AI477" s="63"/>
    </row>
    <row r="478" spans="4:35" s="66" customFormat="1">
      <c r="D478" s="75"/>
      <c r="F478" s="63"/>
      <c r="G478" s="63"/>
      <c r="H478" s="63"/>
      <c r="I478" s="63"/>
      <c r="J478" s="63"/>
      <c r="K478" s="63"/>
      <c r="L478" s="63"/>
      <c r="M478" s="63"/>
      <c r="N478" s="63"/>
      <c r="O478" s="63"/>
      <c r="P478" s="63"/>
      <c r="Q478" s="63"/>
      <c r="R478" s="63"/>
      <c r="S478" s="63"/>
      <c r="T478" s="63"/>
      <c r="U478" s="63"/>
      <c r="V478" s="63"/>
      <c r="W478" s="63"/>
      <c r="X478" s="63"/>
      <c r="Y478" s="63"/>
      <c r="Z478" s="63"/>
      <c r="AA478" s="63"/>
      <c r="AB478" s="63"/>
      <c r="AC478" s="63"/>
      <c r="AD478" s="63"/>
      <c r="AE478" s="63"/>
      <c r="AF478" s="63"/>
      <c r="AG478" s="63"/>
      <c r="AH478" s="63"/>
      <c r="AI478" s="63"/>
    </row>
    <row r="479" spans="4:35" s="66" customFormat="1">
      <c r="D479" s="75"/>
      <c r="F479" s="63"/>
      <c r="G479" s="63"/>
      <c r="H479" s="63"/>
      <c r="I479" s="63"/>
      <c r="J479" s="63"/>
      <c r="K479" s="63"/>
      <c r="L479" s="63"/>
      <c r="M479" s="63"/>
      <c r="N479" s="63"/>
      <c r="O479" s="63"/>
      <c r="P479" s="63"/>
      <c r="Q479" s="63"/>
      <c r="R479" s="63"/>
      <c r="S479" s="63"/>
      <c r="T479" s="63"/>
      <c r="U479" s="63"/>
      <c r="V479" s="63"/>
      <c r="W479" s="63"/>
      <c r="X479" s="63"/>
      <c r="Y479" s="63"/>
      <c r="Z479" s="63"/>
      <c r="AA479" s="63"/>
      <c r="AB479" s="63"/>
      <c r="AC479" s="63"/>
      <c r="AD479" s="63"/>
      <c r="AE479" s="63"/>
      <c r="AF479" s="63"/>
      <c r="AG479" s="63"/>
      <c r="AH479" s="63"/>
      <c r="AI479" s="63"/>
    </row>
    <row r="480" spans="4:35" s="66" customFormat="1">
      <c r="D480" s="75"/>
      <c r="F480" s="63"/>
      <c r="G480" s="63"/>
      <c r="H480" s="63"/>
      <c r="I480" s="63"/>
      <c r="J480" s="63"/>
      <c r="K480" s="63"/>
      <c r="L480" s="63"/>
      <c r="M480" s="63"/>
      <c r="N480" s="63"/>
      <c r="O480" s="63"/>
      <c r="P480" s="63"/>
      <c r="Q480" s="63"/>
      <c r="R480" s="63"/>
      <c r="S480" s="63"/>
      <c r="T480" s="63"/>
      <c r="U480" s="63"/>
      <c r="V480" s="63"/>
      <c r="W480" s="63"/>
      <c r="X480" s="63"/>
      <c r="Y480" s="63"/>
      <c r="Z480" s="63"/>
      <c r="AA480" s="63"/>
      <c r="AB480" s="63"/>
      <c r="AC480" s="63"/>
      <c r="AD480" s="63"/>
      <c r="AE480" s="63"/>
      <c r="AF480" s="63"/>
      <c r="AG480" s="63"/>
      <c r="AH480" s="63"/>
      <c r="AI480" s="63"/>
    </row>
    <row r="481" spans="4:35" s="66" customFormat="1">
      <c r="D481" s="75"/>
      <c r="F481" s="63"/>
      <c r="G481" s="63"/>
      <c r="H481" s="63"/>
      <c r="I481" s="63"/>
      <c r="J481" s="63"/>
      <c r="K481" s="63"/>
      <c r="L481" s="63"/>
      <c r="M481" s="63"/>
      <c r="N481" s="63"/>
      <c r="O481" s="63"/>
      <c r="P481" s="63"/>
      <c r="Q481" s="63"/>
      <c r="R481" s="63"/>
      <c r="S481" s="63"/>
      <c r="T481" s="63"/>
      <c r="U481" s="63"/>
      <c r="V481" s="63"/>
      <c r="W481" s="63"/>
      <c r="X481" s="63"/>
      <c r="Y481" s="63"/>
      <c r="Z481" s="63"/>
      <c r="AA481" s="63"/>
      <c r="AB481" s="63"/>
      <c r="AC481" s="63"/>
      <c r="AD481" s="63"/>
      <c r="AE481" s="63"/>
      <c r="AF481" s="63"/>
      <c r="AG481" s="63"/>
      <c r="AH481" s="63"/>
      <c r="AI481" s="63"/>
    </row>
    <row r="482" spans="4:35" s="66" customFormat="1">
      <c r="D482" s="75"/>
      <c r="F482" s="63"/>
      <c r="G482" s="63"/>
      <c r="H482" s="63"/>
      <c r="I482" s="63"/>
      <c r="J482" s="63"/>
      <c r="K482" s="63"/>
      <c r="L482" s="63"/>
      <c r="M482" s="63"/>
      <c r="N482" s="63"/>
      <c r="O482" s="63"/>
      <c r="P482" s="63"/>
      <c r="Q482" s="63"/>
      <c r="R482" s="63"/>
      <c r="S482" s="63"/>
      <c r="T482" s="63"/>
      <c r="U482" s="63"/>
      <c r="V482" s="63"/>
      <c r="W482" s="63"/>
      <c r="X482" s="63"/>
      <c r="Y482" s="63"/>
      <c r="Z482" s="63"/>
      <c r="AA482" s="63"/>
      <c r="AB482" s="63"/>
      <c r="AC482" s="63"/>
      <c r="AD482" s="63"/>
      <c r="AE482" s="63"/>
      <c r="AF482" s="63"/>
      <c r="AG482" s="63"/>
      <c r="AH482" s="63"/>
      <c r="AI482" s="63"/>
    </row>
    <row r="483" spans="4:35" s="66" customFormat="1">
      <c r="D483" s="75"/>
      <c r="F483" s="63"/>
      <c r="G483" s="63"/>
      <c r="H483" s="63"/>
      <c r="I483" s="63"/>
      <c r="J483" s="63"/>
      <c r="K483" s="63"/>
      <c r="L483" s="63"/>
      <c r="M483" s="63"/>
      <c r="N483" s="63"/>
      <c r="O483" s="63"/>
      <c r="P483" s="63"/>
      <c r="Q483" s="63"/>
      <c r="R483" s="63"/>
      <c r="S483" s="63"/>
      <c r="T483" s="63"/>
      <c r="U483" s="63"/>
      <c r="V483" s="63"/>
      <c r="W483" s="63"/>
      <c r="X483" s="63"/>
      <c r="Y483" s="63"/>
      <c r="Z483" s="63"/>
      <c r="AA483" s="63"/>
      <c r="AB483" s="63"/>
      <c r="AC483" s="63"/>
      <c r="AD483" s="63"/>
      <c r="AE483" s="63"/>
      <c r="AF483" s="63"/>
      <c r="AG483" s="63"/>
      <c r="AH483" s="63"/>
      <c r="AI483" s="63"/>
    </row>
    <row r="484" spans="4:35" s="66" customFormat="1">
      <c r="D484" s="75"/>
      <c r="F484" s="63"/>
      <c r="G484" s="63"/>
      <c r="H484" s="63"/>
      <c r="I484" s="63"/>
      <c r="J484" s="63"/>
      <c r="K484" s="63"/>
      <c r="L484" s="63"/>
      <c r="M484" s="63"/>
      <c r="N484" s="63"/>
      <c r="O484" s="63"/>
      <c r="P484" s="63"/>
      <c r="Q484" s="63"/>
      <c r="R484" s="63"/>
      <c r="S484" s="63"/>
      <c r="T484" s="63"/>
      <c r="U484" s="63"/>
      <c r="V484" s="63"/>
      <c r="W484" s="63"/>
      <c r="X484" s="63"/>
      <c r="Y484" s="63"/>
      <c r="Z484" s="63"/>
      <c r="AA484" s="63"/>
      <c r="AB484" s="63"/>
      <c r="AC484" s="63"/>
      <c r="AD484" s="63"/>
      <c r="AE484" s="63"/>
      <c r="AF484" s="63"/>
      <c r="AG484" s="63"/>
      <c r="AH484" s="63"/>
      <c r="AI484" s="63"/>
    </row>
    <row r="485" spans="4:35" s="66" customFormat="1">
      <c r="D485" s="75"/>
      <c r="F485" s="63"/>
      <c r="G485" s="63"/>
      <c r="H485" s="63"/>
      <c r="I485" s="63"/>
      <c r="J485" s="63"/>
      <c r="K485" s="63"/>
      <c r="L485" s="63"/>
      <c r="M485" s="63"/>
      <c r="N485" s="63"/>
      <c r="O485" s="63"/>
      <c r="P485" s="63"/>
      <c r="Q485" s="63"/>
      <c r="R485" s="63"/>
      <c r="S485" s="63"/>
      <c r="T485" s="63"/>
      <c r="U485" s="63"/>
      <c r="V485" s="63"/>
      <c r="W485" s="63"/>
      <c r="X485" s="63"/>
      <c r="Y485" s="63"/>
      <c r="Z485" s="63"/>
      <c r="AA485" s="63"/>
      <c r="AB485" s="63"/>
      <c r="AC485" s="63"/>
      <c r="AD485" s="63"/>
      <c r="AE485" s="63"/>
      <c r="AF485" s="63"/>
      <c r="AG485" s="63"/>
      <c r="AH485" s="63"/>
      <c r="AI485" s="63"/>
    </row>
    <row r="486" spans="4:35" s="66" customFormat="1">
      <c r="D486" s="75"/>
      <c r="F486" s="63"/>
      <c r="G486" s="63"/>
      <c r="H486" s="63"/>
      <c r="I486" s="63"/>
      <c r="J486" s="63"/>
      <c r="K486" s="63"/>
      <c r="L486" s="63"/>
      <c r="M486" s="63"/>
      <c r="N486" s="63"/>
      <c r="O486" s="63"/>
      <c r="P486" s="63"/>
      <c r="Q486" s="63"/>
      <c r="R486" s="63"/>
      <c r="S486" s="63"/>
      <c r="T486" s="63"/>
      <c r="U486" s="63"/>
      <c r="V486" s="63"/>
      <c r="W486" s="63"/>
      <c r="X486" s="63"/>
      <c r="Y486" s="63"/>
      <c r="Z486" s="63"/>
      <c r="AA486" s="63"/>
      <c r="AB486" s="63"/>
      <c r="AC486" s="63"/>
      <c r="AD486" s="63"/>
      <c r="AE486" s="63"/>
      <c r="AF486" s="63"/>
      <c r="AG486" s="63"/>
      <c r="AH486" s="63"/>
      <c r="AI486" s="63"/>
    </row>
    <row r="487" spans="4:35" s="66" customFormat="1">
      <c r="D487" s="75"/>
      <c r="F487" s="63"/>
      <c r="G487" s="63"/>
      <c r="H487" s="63"/>
      <c r="I487" s="63"/>
      <c r="J487" s="63"/>
      <c r="K487" s="63"/>
      <c r="L487" s="63"/>
      <c r="M487" s="63"/>
      <c r="N487" s="63"/>
      <c r="O487" s="63"/>
      <c r="P487" s="63"/>
      <c r="Q487" s="63"/>
      <c r="R487" s="63"/>
      <c r="S487" s="63"/>
      <c r="T487" s="63"/>
      <c r="U487" s="63"/>
      <c r="V487" s="63"/>
      <c r="W487" s="63"/>
      <c r="X487" s="63"/>
      <c r="Y487" s="63"/>
      <c r="Z487" s="63"/>
      <c r="AA487" s="63"/>
      <c r="AB487" s="63"/>
      <c r="AC487" s="63"/>
      <c r="AD487" s="63"/>
      <c r="AE487" s="63"/>
      <c r="AF487" s="63"/>
      <c r="AG487" s="63"/>
      <c r="AH487" s="63"/>
      <c r="AI487" s="63"/>
    </row>
    <row r="488" spans="4:35" s="66" customFormat="1">
      <c r="D488" s="75"/>
      <c r="F488" s="63"/>
      <c r="G488" s="63"/>
      <c r="H488" s="63"/>
      <c r="I488" s="63"/>
      <c r="J488" s="63"/>
      <c r="K488" s="63"/>
      <c r="L488" s="63"/>
      <c r="M488" s="63"/>
      <c r="N488" s="63"/>
      <c r="O488" s="63"/>
      <c r="P488" s="63"/>
      <c r="Q488" s="63"/>
      <c r="R488" s="63"/>
      <c r="S488" s="63"/>
      <c r="T488" s="63"/>
      <c r="U488" s="63"/>
      <c r="V488" s="63"/>
      <c r="W488" s="63"/>
      <c r="X488" s="63"/>
      <c r="Y488" s="63"/>
      <c r="Z488" s="63"/>
      <c r="AA488" s="63"/>
      <c r="AB488" s="63"/>
      <c r="AC488" s="63"/>
      <c r="AD488" s="63"/>
      <c r="AE488" s="63"/>
      <c r="AF488" s="63"/>
      <c r="AG488" s="63"/>
      <c r="AH488" s="63"/>
      <c r="AI488" s="63"/>
    </row>
    <row r="489" spans="4:35" s="66" customFormat="1">
      <c r="D489" s="75"/>
      <c r="F489" s="63"/>
      <c r="G489" s="63"/>
      <c r="H489" s="63"/>
      <c r="I489" s="63"/>
      <c r="J489" s="63"/>
      <c r="K489" s="63"/>
      <c r="L489" s="63"/>
      <c r="M489" s="63"/>
      <c r="N489" s="63"/>
      <c r="O489" s="63"/>
      <c r="P489" s="63"/>
      <c r="Q489" s="63"/>
      <c r="R489" s="63"/>
      <c r="S489" s="63"/>
      <c r="T489" s="63"/>
      <c r="U489" s="63"/>
      <c r="V489" s="63"/>
      <c r="W489" s="63"/>
      <c r="X489" s="63"/>
      <c r="Y489" s="63"/>
      <c r="Z489" s="63"/>
      <c r="AA489" s="63"/>
      <c r="AB489" s="63"/>
      <c r="AC489" s="63"/>
      <c r="AD489" s="63"/>
      <c r="AE489" s="63"/>
      <c r="AF489" s="63"/>
      <c r="AG489" s="63"/>
      <c r="AH489" s="63"/>
      <c r="AI489" s="63"/>
    </row>
    <row r="490" spans="4:35" s="66" customFormat="1">
      <c r="D490" s="75"/>
      <c r="F490" s="63"/>
      <c r="G490" s="63"/>
      <c r="H490" s="63"/>
      <c r="I490" s="63"/>
      <c r="J490" s="63"/>
      <c r="K490" s="63"/>
      <c r="L490" s="63"/>
      <c r="M490" s="63"/>
      <c r="N490" s="63"/>
      <c r="O490" s="63"/>
      <c r="P490" s="63"/>
      <c r="Q490" s="63"/>
      <c r="R490" s="63"/>
      <c r="S490" s="63"/>
      <c r="T490" s="63"/>
      <c r="U490" s="63"/>
      <c r="V490" s="63"/>
      <c r="W490" s="63"/>
      <c r="X490" s="63"/>
      <c r="Y490" s="63"/>
      <c r="Z490" s="63"/>
      <c r="AA490" s="63"/>
      <c r="AB490" s="63"/>
      <c r="AC490" s="63"/>
      <c r="AD490" s="63"/>
      <c r="AE490" s="63"/>
      <c r="AF490" s="63"/>
      <c r="AG490" s="63"/>
      <c r="AH490" s="63"/>
      <c r="AI490" s="63"/>
    </row>
    <row r="491" spans="4:35" s="66" customFormat="1">
      <c r="D491" s="75"/>
      <c r="F491" s="63"/>
      <c r="G491" s="63"/>
      <c r="H491" s="63"/>
      <c r="I491" s="63"/>
      <c r="J491" s="63"/>
      <c r="K491" s="63"/>
      <c r="L491" s="63"/>
      <c r="M491" s="63"/>
      <c r="N491" s="63"/>
      <c r="O491" s="63"/>
      <c r="P491" s="63"/>
      <c r="Q491" s="63"/>
      <c r="R491" s="63"/>
      <c r="S491" s="63"/>
      <c r="T491" s="63"/>
      <c r="U491" s="63"/>
      <c r="V491" s="63"/>
      <c r="W491" s="63"/>
      <c r="X491" s="63"/>
      <c r="Y491" s="63"/>
      <c r="Z491" s="63"/>
      <c r="AA491" s="63"/>
      <c r="AB491" s="63"/>
      <c r="AC491" s="63"/>
      <c r="AD491" s="63"/>
      <c r="AE491" s="63"/>
      <c r="AF491" s="63"/>
      <c r="AG491" s="63"/>
      <c r="AH491" s="63"/>
      <c r="AI491" s="63"/>
    </row>
    <row r="492" spans="4:35" s="66" customFormat="1">
      <c r="D492" s="75"/>
      <c r="F492" s="63"/>
      <c r="G492" s="63"/>
      <c r="H492" s="63"/>
      <c r="I492" s="63"/>
      <c r="J492" s="63"/>
      <c r="K492" s="63"/>
      <c r="L492" s="63"/>
      <c r="M492" s="63"/>
      <c r="N492" s="63"/>
      <c r="O492" s="63"/>
      <c r="P492" s="63"/>
      <c r="Q492" s="63"/>
      <c r="R492" s="63"/>
      <c r="S492" s="63"/>
      <c r="T492" s="63"/>
      <c r="U492" s="63"/>
      <c r="V492" s="63"/>
      <c r="W492" s="63"/>
      <c r="X492" s="63"/>
      <c r="Y492" s="63"/>
      <c r="Z492" s="63"/>
      <c r="AA492" s="63"/>
      <c r="AB492" s="63"/>
      <c r="AC492" s="63"/>
      <c r="AD492" s="63"/>
      <c r="AE492" s="63"/>
      <c r="AF492" s="63"/>
      <c r="AG492" s="63"/>
      <c r="AH492" s="63"/>
      <c r="AI492" s="63"/>
    </row>
    <row r="493" spans="4:35" s="66" customFormat="1">
      <c r="D493" s="75"/>
      <c r="F493" s="63"/>
      <c r="G493" s="63"/>
      <c r="H493" s="63"/>
      <c r="I493" s="63"/>
      <c r="J493" s="63"/>
      <c r="K493" s="63"/>
      <c r="L493" s="63"/>
      <c r="M493" s="63"/>
      <c r="N493" s="63"/>
      <c r="O493" s="63"/>
      <c r="P493" s="63"/>
      <c r="Q493" s="63"/>
      <c r="R493" s="63"/>
      <c r="S493" s="63"/>
      <c r="T493" s="63"/>
      <c r="U493" s="63"/>
      <c r="V493" s="63"/>
      <c r="W493" s="63"/>
      <c r="X493" s="63"/>
      <c r="Y493" s="63"/>
      <c r="Z493" s="63"/>
      <c r="AA493" s="63"/>
      <c r="AB493" s="63"/>
      <c r="AC493" s="63"/>
      <c r="AD493" s="63"/>
      <c r="AE493" s="63"/>
      <c r="AF493" s="63"/>
      <c r="AG493" s="63"/>
      <c r="AH493" s="63"/>
      <c r="AI493" s="63"/>
    </row>
    <row r="494" spans="4:35" s="66" customFormat="1">
      <c r="D494" s="75"/>
      <c r="F494" s="63"/>
      <c r="G494" s="63"/>
      <c r="H494" s="63"/>
      <c r="I494" s="63"/>
      <c r="J494" s="63"/>
      <c r="K494" s="63"/>
      <c r="L494" s="63"/>
      <c r="M494" s="63"/>
      <c r="N494" s="63"/>
      <c r="O494" s="63"/>
      <c r="P494" s="63"/>
      <c r="Q494" s="63"/>
      <c r="R494" s="63"/>
      <c r="S494" s="63"/>
      <c r="T494" s="63"/>
      <c r="U494" s="63"/>
      <c r="V494" s="63"/>
      <c r="W494" s="63"/>
      <c r="X494" s="63"/>
      <c r="Y494" s="63"/>
      <c r="Z494" s="63"/>
      <c r="AA494" s="63"/>
      <c r="AB494" s="63"/>
      <c r="AC494" s="63"/>
      <c r="AD494" s="63"/>
      <c r="AE494" s="63"/>
      <c r="AF494" s="63"/>
      <c r="AG494" s="63"/>
      <c r="AH494" s="63"/>
      <c r="AI494" s="63"/>
    </row>
    <row r="495" spans="4:35" s="66" customFormat="1">
      <c r="D495" s="75"/>
      <c r="F495" s="63"/>
      <c r="G495" s="63"/>
      <c r="H495" s="63"/>
      <c r="I495" s="63"/>
      <c r="J495" s="63"/>
      <c r="K495" s="63"/>
      <c r="L495" s="63"/>
      <c r="M495" s="63"/>
      <c r="N495" s="63"/>
      <c r="O495" s="63"/>
      <c r="P495" s="63"/>
      <c r="Q495" s="63"/>
      <c r="R495" s="63"/>
      <c r="S495" s="63"/>
      <c r="T495" s="63"/>
      <c r="U495" s="63"/>
      <c r="V495" s="63"/>
      <c r="W495" s="63"/>
      <c r="X495" s="63"/>
      <c r="Y495" s="63"/>
      <c r="Z495" s="63"/>
      <c r="AA495" s="63"/>
      <c r="AB495" s="63"/>
      <c r="AC495" s="63"/>
      <c r="AD495" s="63"/>
      <c r="AE495" s="63"/>
      <c r="AF495" s="63"/>
      <c r="AG495" s="63"/>
      <c r="AH495" s="63"/>
      <c r="AI495" s="63"/>
    </row>
    <row r="496" spans="4:35" s="66" customFormat="1">
      <c r="D496" s="75"/>
      <c r="F496" s="63"/>
      <c r="G496" s="63"/>
      <c r="H496" s="63"/>
      <c r="I496" s="63"/>
      <c r="J496" s="63"/>
      <c r="K496" s="63"/>
      <c r="L496" s="63"/>
      <c r="M496" s="63"/>
      <c r="N496" s="63"/>
      <c r="O496" s="63"/>
      <c r="P496" s="63"/>
      <c r="Q496" s="63"/>
      <c r="R496" s="63"/>
      <c r="S496" s="63"/>
      <c r="T496" s="63"/>
      <c r="U496" s="63"/>
      <c r="V496" s="63"/>
      <c r="W496" s="63"/>
      <c r="X496" s="63"/>
      <c r="Y496" s="63"/>
      <c r="Z496" s="63"/>
      <c r="AA496" s="63"/>
      <c r="AB496" s="63"/>
      <c r="AC496" s="63"/>
      <c r="AD496" s="63"/>
      <c r="AE496" s="63"/>
      <c r="AF496" s="63"/>
      <c r="AG496" s="63"/>
      <c r="AH496" s="63"/>
      <c r="AI496" s="63"/>
    </row>
    <row r="497" spans="4:35" s="66" customFormat="1">
      <c r="D497" s="75"/>
      <c r="F497" s="63"/>
      <c r="G497" s="63"/>
      <c r="H497" s="63"/>
      <c r="I497" s="63"/>
      <c r="J497" s="63"/>
      <c r="K497" s="63"/>
      <c r="L497" s="63"/>
      <c r="M497" s="63"/>
      <c r="N497" s="63"/>
      <c r="O497" s="63"/>
      <c r="P497" s="63"/>
      <c r="Q497" s="63"/>
      <c r="R497" s="63"/>
      <c r="S497" s="63"/>
      <c r="T497" s="63"/>
      <c r="U497" s="63"/>
      <c r="V497" s="63"/>
      <c r="W497" s="63"/>
      <c r="X497" s="63"/>
      <c r="Y497" s="63"/>
      <c r="Z497" s="63"/>
      <c r="AA497" s="63"/>
      <c r="AB497" s="63"/>
      <c r="AC497" s="63"/>
      <c r="AD497" s="63"/>
      <c r="AE497" s="63"/>
      <c r="AF497" s="63"/>
      <c r="AG497" s="63"/>
      <c r="AH497" s="63"/>
      <c r="AI497" s="63"/>
    </row>
    <row r="498" spans="4:35" s="66" customFormat="1">
      <c r="D498" s="75"/>
      <c r="F498" s="63"/>
      <c r="G498" s="63"/>
      <c r="H498" s="63"/>
      <c r="I498" s="63"/>
      <c r="J498" s="63"/>
      <c r="K498" s="63"/>
      <c r="L498" s="63"/>
      <c r="M498" s="63"/>
      <c r="N498" s="63"/>
      <c r="O498" s="63"/>
      <c r="P498" s="63"/>
      <c r="Q498" s="63"/>
      <c r="R498" s="63"/>
      <c r="S498" s="63"/>
      <c r="T498" s="63"/>
      <c r="U498" s="63"/>
      <c r="V498" s="63"/>
      <c r="W498" s="63"/>
      <c r="X498" s="63"/>
      <c r="Y498" s="63"/>
      <c r="Z498" s="63"/>
      <c r="AA498" s="63"/>
      <c r="AB498" s="63"/>
      <c r="AC498" s="63"/>
      <c r="AD498" s="63"/>
      <c r="AE498" s="63"/>
      <c r="AF498" s="63"/>
      <c r="AG498" s="63"/>
      <c r="AH498" s="63"/>
      <c r="AI498" s="63"/>
    </row>
    <row r="499" spans="4:35" s="66" customFormat="1">
      <c r="D499" s="75"/>
      <c r="F499" s="63"/>
      <c r="G499" s="63"/>
      <c r="H499" s="63"/>
      <c r="I499" s="63"/>
      <c r="J499" s="63"/>
      <c r="K499" s="63"/>
      <c r="L499" s="63"/>
      <c r="M499" s="63"/>
      <c r="N499" s="63"/>
      <c r="O499" s="63"/>
      <c r="P499" s="63"/>
      <c r="Q499" s="63"/>
      <c r="R499" s="63"/>
      <c r="S499" s="63"/>
      <c r="T499" s="63"/>
      <c r="U499" s="63"/>
      <c r="V499" s="63"/>
      <c r="W499" s="63"/>
      <c r="X499" s="63"/>
      <c r="Y499" s="63"/>
      <c r="Z499" s="63"/>
      <c r="AA499" s="63"/>
      <c r="AB499" s="63"/>
      <c r="AC499" s="63"/>
      <c r="AD499" s="63"/>
      <c r="AE499" s="63"/>
      <c r="AF499" s="63"/>
      <c r="AG499" s="63"/>
      <c r="AH499" s="63"/>
      <c r="AI499" s="63"/>
    </row>
    <row r="500" spans="4:35" s="66" customFormat="1">
      <c r="D500" s="75"/>
      <c r="F500" s="63"/>
      <c r="G500" s="63"/>
      <c r="H500" s="63"/>
      <c r="I500" s="63"/>
      <c r="J500" s="63"/>
      <c r="K500" s="63"/>
      <c r="L500" s="63"/>
      <c r="M500" s="63"/>
      <c r="N500" s="63"/>
      <c r="O500" s="63"/>
      <c r="P500" s="63"/>
      <c r="Q500" s="63"/>
      <c r="R500" s="63"/>
      <c r="S500" s="63"/>
      <c r="T500" s="63"/>
      <c r="U500" s="63"/>
      <c r="V500" s="63"/>
      <c r="W500" s="63"/>
      <c r="X500" s="63"/>
      <c r="Y500" s="63"/>
      <c r="Z500" s="63"/>
      <c r="AA500" s="63"/>
      <c r="AB500" s="63"/>
      <c r="AC500" s="63"/>
      <c r="AD500" s="63"/>
      <c r="AE500" s="63"/>
      <c r="AF500" s="63"/>
      <c r="AG500" s="63"/>
      <c r="AH500" s="63"/>
      <c r="AI500" s="63"/>
    </row>
    <row r="501" spans="4:35" s="66" customFormat="1">
      <c r="D501" s="75"/>
      <c r="F501" s="63"/>
      <c r="G501" s="63"/>
      <c r="H501" s="63"/>
      <c r="I501" s="63"/>
      <c r="J501" s="63"/>
      <c r="K501" s="63"/>
      <c r="L501" s="63"/>
      <c r="M501" s="63"/>
      <c r="N501" s="63"/>
      <c r="O501" s="63"/>
      <c r="P501" s="63"/>
      <c r="Q501" s="63"/>
      <c r="R501" s="63"/>
      <c r="S501" s="63"/>
      <c r="T501" s="63"/>
      <c r="U501" s="63"/>
      <c r="V501" s="63"/>
      <c r="W501" s="63"/>
      <c r="X501" s="63"/>
      <c r="Y501" s="63"/>
      <c r="Z501" s="63"/>
      <c r="AA501" s="63"/>
      <c r="AB501" s="63"/>
      <c r="AC501" s="63"/>
      <c r="AD501" s="63"/>
      <c r="AE501" s="63"/>
      <c r="AF501" s="63"/>
      <c r="AG501" s="63"/>
      <c r="AH501" s="63"/>
      <c r="AI501" s="63"/>
    </row>
    <row r="502" spans="4:35" s="66" customFormat="1">
      <c r="D502" s="75"/>
      <c r="F502" s="63"/>
      <c r="G502" s="63"/>
      <c r="H502" s="63"/>
      <c r="I502" s="63"/>
      <c r="J502" s="63"/>
      <c r="K502" s="63"/>
      <c r="L502" s="63"/>
      <c r="M502" s="63"/>
      <c r="N502" s="63"/>
      <c r="O502" s="63"/>
      <c r="P502" s="63"/>
      <c r="Q502" s="63"/>
      <c r="R502" s="63"/>
      <c r="S502" s="63"/>
      <c r="T502" s="63"/>
      <c r="U502" s="63"/>
      <c r="V502" s="63"/>
      <c r="W502" s="63"/>
      <c r="X502" s="63"/>
      <c r="Y502" s="63"/>
      <c r="Z502" s="63"/>
      <c r="AA502" s="63"/>
      <c r="AB502" s="63"/>
      <c r="AC502" s="63"/>
      <c r="AD502" s="63"/>
      <c r="AE502" s="63"/>
      <c r="AF502" s="63"/>
      <c r="AG502" s="63"/>
      <c r="AH502" s="63"/>
      <c r="AI502" s="63"/>
    </row>
    <row r="503" spans="4:35" s="66" customFormat="1">
      <c r="D503" s="75"/>
      <c r="F503" s="63"/>
      <c r="G503" s="63"/>
      <c r="H503" s="63"/>
      <c r="I503" s="63"/>
      <c r="J503" s="63"/>
      <c r="K503" s="63"/>
      <c r="L503" s="63"/>
      <c r="M503" s="63"/>
      <c r="N503" s="63"/>
      <c r="O503" s="63"/>
      <c r="P503" s="63"/>
      <c r="Q503" s="63"/>
      <c r="R503" s="63"/>
      <c r="S503" s="63"/>
      <c r="T503" s="63"/>
      <c r="U503" s="63"/>
      <c r="V503" s="63"/>
      <c r="W503" s="63"/>
      <c r="X503" s="63"/>
      <c r="Y503" s="63"/>
      <c r="Z503" s="63"/>
      <c r="AA503" s="63"/>
      <c r="AB503" s="63"/>
      <c r="AC503" s="63"/>
      <c r="AD503" s="63"/>
      <c r="AE503" s="63"/>
      <c r="AF503" s="63"/>
      <c r="AG503" s="63"/>
      <c r="AH503" s="63"/>
      <c r="AI503" s="63"/>
    </row>
    <row r="504" spans="4:35" s="66" customFormat="1">
      <c r="D504" s="75"/>
      <c r="F504" s="63"/>
      <c r="G504" s="63"/>
      <c r="H504" s="63"/>
      <c r="I504" s="63"/>
      <c r="J504" s="63"/>
      <c r="K504" s="63"/>
      <c r="L504" s="63"/>
      <c r="M504" s="63"/>
      <c r="N504" s="63"/>
      <c r="O504" s="63"/>
      <c r="P504" s="63"/>
      <c r="Q504" s="63"/>
      <c r="R504" s="63"/>
      <c r="S504" s="63"/>
      <c r="T504" s="63"/>
      <c r="U504" s="63"/>
      <c r="V504" s="63"/>
      <c r="W504" s="63"/>
      <c r="X504" s="63"/>
      <c r="Y504" s="63"/>
      <c r="Z504" s="63"/>
      <c r="AA504" s="63"/>
      <c r="AB504" s="63"/>
      <c r="AC504" s="63"/>
      <c r="AD504" s="63"/>
      <c r="AE504" s="63"/>
      <c r="AF504" s="63"/>
      <c r="AG504" s="63"/>
      <c r="AH504" s="63"/>
      <c r="AI504" s="63"/>
    </row>
    <row r="505" spans="4:35" s="66" customFormat="1">
      <c r="D505" s="75"/>
      <c r="F505" s="63"/>
      <c r="G505" s="63"/>
      <c r="H505" s="63"/>
      <c r="I505" s="63"/>
      <c r="J505" s="63"/>
      <c r="K505" s="63"/>
      <c r="L505" s="63"/>
      <c r="M505" s="63"/>
      <c r="N505" s="63"/>
      <c r="O505" s="63"/>
      <c r="P505" s="63"/>
      <c r="Q505" s="63"/>
      <c r="R505" s="63"/>
      <c r="S505" s="63"/>
      <c r="T505" s="63"/>
      <c r="U505" s="63"/>
      <c r="V505" s="63"/>
      <c r="W505" s="63"/>
      <c r="X505" s="63"/>
      <c r="Y505" s="63"/>
      <c r="Z505" s="63"/>
      <c r="AA505" s="63"/>
      <c r="AB505" s="63"/>
      <c r="AC505" s="63"/>
      <c r="AD505" s="63"/>
      <c r="AE505" s="63"/>
      <c r="AF505" s="63"/>
      <c r="AG505" s="63"/>
      <c r="AH505" s="63"/>
      <c r="AI505" s="63"/>
    </row>
    <row r="506" spans="4:35" s="66" customFormat="1">
      <c r="D506" s="75"/>
      <c r="F506" s="63"/>
      <c r="G506" s="63"/>
      <c r="H506" s="63"/>
      <c r="I506" s="63"/>
      <c r="J506" s="63"/>
      <c r="K506" s="63"/>
      <c r="L506" s="63"/>
      <c r="M506" s="63"/>
      <c r="N506" s="63"/>
      <c r="O506" s="63"/>
      <c r="P506" s="63"/>
      <c r="Q506" s="63"/>
      <c r="R506" s="63"/>
      <c r="S506" s="63"/>
      <c r="T506" s="63"/>
      <c r="U506" s="63"/>
      <c r="V506" s="63"/>
      <c r="W506" s="63"/>
      <c r="X506" s="63"/>
      <c r="Y506" s="63"/>
      <c r="Z506" s="63"/>
      <c r="AA506" s="63"/>
      <c r="AB506" s="63"/>
      <c r="AC506" s="63"/>
      <c r="AD506" s="63"/>
      <c r="AE506" s="63"/>
      <c r="AF506" s="63"/>
      <c r="AG506" s="63"/>
      <c r="AH506" s="63"/>
      <c r="AI506" s="63"/>
    </row>
    <row r="507" spans="4:35" s="66" customFormat="1">
      <c r="D507" s="75"/>
      <c r="F507" s="63"/>
      <c r="G507" s="63"/>
      <c r="H507" s="63"/>
      <c r="I507" s="63"/>
      <c r="J507" s="63"/>
      <c r="K507" s="63"/>
      <c r="L507" s="63"/>
      <c r="M507" s="63"/>
      <c r="N507" s="63"/>
      <c r="O507" s="63"/>
      <c r="P507" s="63"/>
      <c r="Q507" s="63"/>
      <c r="R507" s="63"/>
      <c r="S507" s="63"/>
      <c r="T507" s="63"/>
      <c r="U507" s="63"/>
      <c r="V507" s="63"/>
      <c r="W507" s="63"/>
      <c r="X507" s="63"/>
      <c r="Y507" s="63"/>
      <c r="Z507" s="63"/>
      <c r="AA507" s="63"/>
      <c r="AB507" s="63"/>
      <c r="AC507" s="63"/>
      <c r="AD507" s="63"/>
      <c r="AE507" s="63"/>
      <c r="AF507" s="63"/>
      <c r="AG507" s="63"/>
      <c r="AH507" s="63"/>
      <c r="AI507" s="63"/>
    </row>
    <row r="508" spans="4:35" s="66" customFormat="1">
      <c r="D508" s="75"/>
      <c r="F508" s="63"/>
      <c r="G508" s="63"/>
      <c r="H508" s="63"/>
      <c r="I508" s="63"/>
      <c r="J508" s="63"/>
      <c r="K508" s="63"/>
      <c r="L508" s="63"/>
      <c r="M508" s="63"/>
      <c r="N508" s="63"/>
      <c r="O508" s="63"/>
      <c r="P508" s="63"/>
      <c r="Q508" s="63"/>
      <c r="R508" s="63"/>
      <c r="S508" s="63"/>
      <c r="T508" s="63"/>
      <c r="U508" s="63"/>
      <c r="V508" s="63"/>
      <c r="W508" s="63"/>
      <c r="X508" s="63"/>
      <c r="Y508" s="63"/>
      <c r="Z508" s="63"/>
      <c r="AA508" s="63"/>
      <c r="AB508" s="63"/>
      <c r="AC508" s="63"/>
      <c r="AD508" s="63"/>
      <c r="AE508" s="63"/>
      <c r="AF508" s="63"/>
      <c r="AG508" s="63"/>
      <c r="AH508" s="63"/>
      <c r="AI508" s="63"/>
    </row>
    <row r="509" spans="4:35" s="66" customFormat="1">
      <c r="D509" s="75"/>
      <c r="F509" s="63"/>
      <c r="G509" s="63"/>
      <c r="H509" s="63"/>
      <c r="I509" s="63"/>
      <c r="J509" s="63"/>
      <c r="K509" s="63"/>
      <c r="L509" s="63"/>
      <c r="M509" s="63"/>
      <c r="N509" s="63"/>
      <c r="O509" s="63"/>
      <c r="P509" s="63"/>
      <c r="Q509" s="63"/>
      <c r="R509" s="63"/>
      <c r="S509" s="63"/>
      <c r="T509" s="63"/>
      <c r="U509" s="63"/>
      <c r="V509" s="63"/>
      <c r="W509" s="63"/>
      <c r="X509" s="63"/>
      <c r="Y509" s="63"/>
      <c r="Z509" s="63"/>
      <c r="AA509" s="63"/>
      <c r="AB509" s="63"/>
      <c r="AC509" s="63"/>
      <c r="AD509" s="63"/>
      <c r="AE509" s="63"/>
      <c r="AF509" s="63"/>
      <c r="AG509" s="63"/>
      <c r="AH509" s="63"/>
      <c r="AI509" s="63"/>
    </row>
    <row r="510" spans="4:35" s="66" customFormat="1">
      <c r="D510" s="75"/>
      <c r="F510" s="63"/>
      <c r="G510" s="63"/>
      <c r="H510" s="63"/>
      <c r="I510" s="63"/>
      <c r="J510" s="63"/>
      <c r="K510" s="63"/>
      <c r="L510" s="63"/>
      <c r="M510" s="63"/>
      <c r="N510" s="63"/>
      <c r="O510" s="63"/>
      <c r="P510" s="63"/>
      <c r="Q510" s="63"/>
      <c r="R510" s="63"/>
      <c r="S510" s="63"/>
      <c r="T510" s="63"/>
      <c r="U510" s="63"/>
      <c r="V510" s="63"/>
      <c r="W510" s="63"/>
      <c r="X510" s="63"/>
      <c r="Y510" s="63"/>
      <c r="Z510" s="63"/>
      <c r="AA510" s="63"/>
      <c r="AB510" s="63"/>
      <c r="AC510" s="63"/>
      <c r="AD510" s="63"/>
      <c r="AE510" s="63"/>
      <c r="AF510" s="63"/>
      <c r="AG510" s="63"/>
      <c r="AH510" s="63"/>
      <c r="AI510" s="63"/>
    </row>
    <row r="511" spans="4:35" s="66" customFormat="1">
      <c r="D511" s="75"/>
      <c r="F511" s="63"/>
      <c r="G511" s="63"/>
      <c r="H511" s="63"/>
      <c r="I511" s="63"/>
      <c r="J511" s="63"/>
      <c r="K511" s="63"/>
      <c r="L511" s="63"/>
      <c r="M511" s="63"/>
      <c r="N511" s="63"/>
      <c r="O511" s="63"/>
      <c r="P511" s="63"/>
      <c r="Q511" s="63"/>
      <c r="R511" s="63"/>
      <c r="S511" s="63"/>
      <c r="T511" s="63"/>
      <c r="U511" s="63"/>
      <c r="V511" s="63"/>
      <c r="W511" s="63"/>
      <c r="X511" s="63"/>
      <c r="Y511" s="63"/>
      <c r="Z511" s="63"/>
      <c r="AA511" s="63"/>
      <c r="AB511" s="63"/>
      <c r="AC511" s="63"/>
      <c r="AD511" s="63"/>
      <c r="AE511" s="63"/>
      <c r="AF511" s="63"/>
      <c r="AG511" s="63"/>
      <c r="AH511" s="63"/>
      <c r="AI511" s="63"/>
    </row>
    <row r="512" spans="4:35" s="66" customFormat="1">
      <c r="D512" s="75"/>
      <c r="F512" s="63"/>
      <c r="G512" s="63"/>
      <c r="H512" s="63"/>
      <c r="I512" s="63"/>
      <c r="J512" s="63"/>
      <c r="K512" s="63"/>
      <c r="L512" s="63"/>
      <c r="M512" s="63"/>
      <c r="N512" s="63"/>
      <c r="O512" s="63"/>
      <c r="P512" s="63"/>
      <c r="Q512" s="63"/>
      <c r="R512" s="63"/>
      <c r="S512" s="63"/>
      <c r="T512" s="63"/>
      <c r="U512" s="63"/>
      <c r="V512" s="63"/>
      <c r="W512" s="63"/>
      <c r="X512" s="63"/>
      <c r="Y512" s="63"/>
      <c r="Z512" s="63"/>
      <c r="AA512" s="63"/>
      <c r="AB512" s="63"/>
      <c r="AC512" s="63"/>
      <c r="AD512" s="63"/>
      <c r="AE512" s="63"/>
      <c r="AF512" s="63"/>
      <c r="AG512" s="63"/>
      <c r="AH512" s="63"/>
      <c r="AI512" s="63"/>
    </row>
    <row r="513" spans="4:35" s="66" customFormat="1">
      <c r="D513" s="75"/>
      <c r="F513" s="63"/>
      <c r="G513" s="63"/>
      <c r="H513" s="63"/>
      <c r="I513" s="63"/>
      <c r="J513" s="63"/>
      <c r="K513" s="63"/>
      <c r="L513" s="63"/>
      <c r="M513" s="63"/>
      <c r="N513" s="63"/>
      <c r="O513" s="63"/>
      <c r="P513" s="63"/>
      <c r="Q513" s="63"/>
      <c r="R513" s="63"/>
      <c r="S513" s="63"/>
      <c r="T513" s="63"/>
      <c r="U513" s="63"/>
      <c r="V513" s="63"/>
      <c r="W513" s="63"/>
      <c r="X513" s="63"/>
      <c r="Y513" s="63"/>
      <c r="Z513" s="63"/>
      <c r="AA513" s="63"/>
      <c r="AB513" s="63"/>
      <c r="AC513" s="63"/>
      <c r="AD513" s="63"/>
      <c r="AE513" s="63"/>
      <c r="AF513" s="63"/>
      <c r="AG513" s="63"/>
      <c r="AH513" s="63"/>
      <c r="AI513" s="63"/>
    </row>
    <row r="514" spans="4:35" s="66" customFormat="1">
      <c r="D514" s="75"/>
      <c r="F514" s="63"/>
      <c r="G514" s="63"/>
      <c r="H514" s="63"/>
      <c r="I514" s="63"/>
      <c r="J514" s="63"/>
      <c r="K514" s="63"/>
      <c r="L514" s="63"/>
      <c r="M514" s="63"/>
      <c r="N514" s="63"/>
      <c r="O514" s="63"/>
      <c r="P514" s="63"/>
      <c r="Q514" s="63"/>
      <c r="R514" s="63"/>
      <c r="S514" s="63"/>
      <c r="T514" s="63"/>
      <c r="U514" s="63"/>
      <c r="V514" s="63"/>
      <c r="W514" s="63"/>
      <c r="X514" s="63"/>
      <c r="Y514" s="63"/>
      <c r="Z514" s="63"/>
      <c r="AA514" s="63"/>
      <c r="AB514" s="63"/>
      <c r="AC514" s="63"/>
      <c r="AD514" s="63"/>
      <c r="AE514" s="63"/>
      <c r="AF514" s="63"/>
      <c r="AG514" s="63"/>
      <c r="AH514" s="63"/>
      <c r="AI514" s="63"/>
    </row>
    <row r="515" spans="4:35" s="66" customFormat="1">
      <c r="D515" s="75"/>
      <c r="F515" s="63"/>
      <c r="G515" s="63"/>
      <c r="H515" s="63"/>
      <c r="I515" s="63"/>
      <c r="J515" s="63"/>
      <c r="K515" s="63"/>
      <c r="L515" s="63"/>
      <c r="M515" s="63"/>
      <c r="N515" s="63"/>
      <c r="O515" s="63"/>
      <c r="P515" s="63"/>
      <c r="Q515" s="63"/>
      <c r="R515" s="63"/>
      <c r="S515" s="63"/>
      <c r="T515" s="63"/>
      <c r="U515" s="63"/>
      <c r="V515" s="63"/>
      <c r="W515" s="63"/>
      <c r="X515" s="63"/>
      <c r="Y515" s="63"/>
      <c r="Z515" s="63"/>
      <c r="AA515" s="63"/>
      <c r="AB515" s="63"/>
      <c r="AC515" s="63"/>
      <c r="AD515" s="63"/>
      <c r="AE515" s="63"/>
      <c r="AF515" s="63"/>
      <c r="AG515" s="63"/>
      <c r="AH515" s="63"/>
      <c r="AI515" s="63"/>
    </row>
    <row r="516" spans="4:35" s="66" customFormat="1">
      <c r="D516" s="75"/>
      <c r="F516" s="63"/>
      <c r="G516" s="63"/>
      <c r="H516" s="63"/>
      <c r="I516" s="63"/>
      <c r="J516" s="63"/>
      <c r="K516" s="63"/>
      <c r="L516" s="63"/>
      <c r="M516" s="63"/>
      <c r="N516" s="63"/>
      <c r="O516" s="63"/>
      <c r="P516" s="63"/>
      <c r="Q516" s="63"/>
      <c r="R516" s="63"/>
      <c r="S516" s="63"/>
      <c r="T516" s="63"/>
      <c r="U516" s="63"/>
      <c r="V516" s="63"/>
      <c r="W516" s="63"/>
      <c r="X516" s="63"/>
      <c r="Y516" s="63"/>
      <c r="Z516" s="63"/>
      <c r="AA516" s="63"/>
      <c r="AB516" s="63"/>
      <c r="AC516" s="63"/>
      <c r="AD516" s="63"/>
      <c r="AE516" s="63"/>
      <c r="AF516" s="63"/>
      <c r="AG516" s="63"/>
      <c r="AH516" s="63"/>
      <c r="AI516" s="63"/>
    </row>
    <row r="517" spans="4:35" s="66" customFormat="1">
      <c r="D517" s="75"/>
      <c r="F517" s="63"/>
      <c r="G517" s="63"/>
      <c r="H517" s="63"/>
      <c r="I517" s="63"/>
      <c r="J517" s="63"/>
      <c r="K517" s="63"/>
      <c r="L517" s="63"/>
      <c r="M517" s="63"/>
      <c r="N517" s="63"/>
      <c r="O517" s="63"/>
      <c r="P517" s="63"/>
      <c r="Q517" s="63"/>
      <c r="R517" s="63"/>
      <c r="S517" s="63"/>
      <c r="T517" s="63"/>
      <c r="U517" s="63"/>
      <c r="V517" s="63"/>
      <c r="W517" s="63"/>
      <c r="X517" s="63"/>
      <c r="Y517" s="63"/>
      <c r="Z517" s="63"/>
      <c r="AA517" s="63"/>
      <c r="AB517" s="63"/>
      <c r="AC517" s="63"/>
      <c r="AD517" s="63"/>
      <c r="AE517" s="63"/>
      <c r="AF517" s="63"/>
      <c r="AG517" s="63"/>
      <c r="AH517" s="63"/>
      <c r="AI517" s="63"/>
    </row>
    <row r="518" spans="4:35" s="66" customFormat="1">
      <c r="D518" s="75"/>
      <c r="F518" s="63"/>
      <c r="G518" s="63"/>
      <c r="H518" s="63"/>
      <c r="I518" s="63"/>
      <c r="J518" s="63"/>
      <c r="K518" s="63"/>
      <c r="L518" s="63"/>
      <c r="M518" s="63"/>
      <c r="N518" s="63"/>
      <c r="O518" s="63"/>
      <c r="P518" s="63"/>
      <c r="Q518" s="63"/>
      <c r="R518" s="63"/>
      <c r="S518" s="63"/>
      <c r="T518" s="63"/>
      <c r="U518" s="63"/>
      <c r="V518" s="63"/>
      <c r="W518" s="63"/>
      <c r="X518" s="63"/>
      <c r="Y518" s="63"/>
      <c r="Z518" s="63"/>
      <c r="AA518" s="63"/>
      <c r="AB518" s="63"/>
      <c r="AC518" s="63"/>
      <c r="AD518" s="63"/>
      <c r="AE518" s="63"/>
      <c r="AF518" s="63"/>
      <c r="AG518" s="63"/>
      <c r="AH518" s="63"/>
      <c r="AI518" s="63"/>
    </row>
    <row r="519" spans="4:35" s="66" customFormat="1">
      <c r="D519" s="75"/>
      <c r="F519" s="63"/>
      <c r="G519" s="63"/>
      <c r="H519" s="63"/>
      <c r="I519" s="63"/>
      <c r="J519" s="63"/>
      <c r="K519" s="63"/>
      <c r="L519" s="63"/>
      <c r="M519" s="63"/>
      <c r="N519" s="63"/>
      <c r="O519" s="63"/>
      <c r="P519" s="63"/>
      <c r="Q519" s="63"/>
      <c r="R519" s="63"/>
      <c r="S519" s="63"/>
      <c r="T519" s="63"/>
      <c r="U519" s="63"/>
      <c r="V519" s="63"/>
      <c r="W519" s="63"/>
      <c r="X519" s="63"/>
      <c r="Y519" s="63"/>
      <c r="Z519" s="63"/>
      <c r="AA519" s="63"/>
      <c r="AB519" s="63"/>
      <c r="AC519" s="63"/>
      <c r="AD519" s="63"/>
      <c r="AE519" s="63"/>
      <c r="AF519" s="63"/>
      <c r="AG519" s="63"/>
      <c r="AH519" s="63"/>
      <c r="AI519" s="63"/>
    </row>
    <row r="520" spans="4:35" s="66" customFormat="1">
      <c r="D520" s="75"/>
      <c r="F520" s="63"/>
      <c r="G520" s="63"/>
      <c r="H520" s="63"/>
      <c r="I520" s="63"/>
      <c r="J520" s="63"/>
      <c r="K520" s="63"/>
      <c r="L520" s="63"/>
      <c r="M520" s="63"/>
      <c r="N520" s="63"/>
      <c r="O520" s="63"/>
      <c r="P520" s="63"/>
      <c r="Q520" s="63"/>
      <c r="R520" s="63"/>
      <c r="S520" s="63"/>
      <c r="T520" s="63"/>
      <c r="U520" s="63"/>
      <c r="V520" s="63"/>
      <c r="W520" s="63"/>
      <c r="X520" s="63"/>
      <c r="Y520" s="63"/>
      <c r="Z520" s="63"/>
      <c r="AA520" s="63"/>
      <c r="AB520" s="63"/>
      <c r="AC520" s="63"/>
      <c r="AD520" s="63"/>
      <c r="AE520" s="63"/>
      <c r="AF520" s="63"/>
      <c r="AG520" s="63"/>
      <c r="AH520" s="63"/>
      <c r="AI520" s="63"/>
    </row>
    <row r="521" spans="4:35" s="66" customFormat="1">
      <c r="D521" s="75"/>
      <c r="F521" s="63"/>
      <c r="G521" s="63"/>
      <c r="H521" s="63"/>
      <c r="I521" s="63"/>
      <c r="J521" s="63"/>
      <c r="K521" s="63"/>
      <c r="L521" s="63"/>
      <c r="M521" s="63"/>
      <c r="N521" s="63"/>
      <c r="O521" s="63"/>
      <c r="P521" s="63"/>
      <c r="Q521" s="63"/>
      <c r="R521" s="63"/>
      <c r="S521" s="63"/>
      <c r="T521" s="63"/>
      <c r="U521" s="63"/>
      <c r="V521" s="63"/>
      <c r="W521" s="63"/>
      <c r="X521" s="63"/>
      <c r="Y521" s="63"/>
      <c r="Z521" s="63"/>
      <c r="AA521" s="63"/>
      <c r="AB521" s="63"/>
      <c r="AC521" s="63"/>
      <c r="AD521" s="63"/>
      <c r="AE521" s="63"/>
      <c r="AF521" s="63"/>
      <c r="AG521" s="63"/>
      <c r="AH521" s="63"/>
      <c r="AI521" s="63"/>
    </row>
    <row r="522" spans="4:35" s="66" customFormat="1">
      <c r="D522" s="75"/>
      <c r="F522" s="63"/>
      <c r="G522" s="63"/>
      <c r="H522" s="63"/>
      <c r="I522" s="63"/>
      <c r="J522" s="63"/>
      <c r="K522" s="63"/>
      <c r="L522" s="63"/>
      <c r="M522" s="63"/>
      <c r="N522" s="63"/>
      <c r="O522" s="63"/>
      <c r="P522" s="63"/>
      <c r="Q522" s="63"/>
      <c r="R522" s="63"/>
      <c r="S522" s="63"/>
      <c r="T522" s="63"/>
      <c r="U522" s="63"/>
      <c r="V522" s="63"/>
      <c r="W522" s="63"/>
      <c r="X522" s="63"/>
      <c r="Y522" s="63"/>
      <c r="Z522" s="63"/>
      <c r="AA522" s="63"/>
      <c r="AB522" s="63"/>
      <c r="AC522" s="63"/>
      <c r="AD522" s="63"/>
      <c r="AE522" s="63"/>
      <c r="AF522" s="63"/>
      <c r="AG522" s="63"/>
      <c r="AH522" s="63"/>
      <c r="AI522" s="63"/>
    </row>
    <row r="523" spans="4:35" s="66" customFormat="1">
      <c r="D523" s="75"/>
      <c r="F523" s="63"/>
      <c r="G523" s="63"/>
      <c r="H523" s="63"/>
      <c r="I523" s="63"/>
      <c r="J523" s="63"/>
      <c r="K523" s="63"/>
      <c r="L523" s="63"/>
      <c r="M523" s="63"/>
      <c r="N523" s="63"/>
      <c r="O523" s="63"/>
      <c r="P523" s="63"/>
      <c r="Q523" s="63"/>
      <c r="R523" s="63"/>
      <c r="S523" s="63"/>
      <c r="T523" s="63"/>
      <c r="U523" s="63"/>
      <c r="V523" s="63"/>
      <c r="W523" s="63"/>
      <c r="X523" s="63"/>
      <c r="Y523" s="63"/>
      <c r="Z523" s="63"/>
      <c r="AA523" s="63"/>
      <c r="AB523" s="63"/>
      <c r="AC523" s="63"/>
      <c r="AD523" s="63"/>
      <c r="AE523" s="63"/>
      <c r="AF523" s="63"/>
      <c r="AG523" s="63"/>
      <c r="AH523" s="63"/>
      <c r="AI523" s="63"/>
    </row>
    <row r="524" spans="4:35" s="66" customFormat="1">
      <c r="D524" s="75"/>
      <c r="F524" s="63"/>
      <c r="G524" s="63"/>
      <c r="H524" s="63"/>
      <c r="I524" s="63"/>
      <c r="J524" s="63"/>
      <c r="K524" s="63"/>
      <c r="L524" s="63"/>
      <c r="M524" s="63"/>
      <c r="N524" s="63"/>
      <c r="O524" s="63"/>
      <c r="P524" s="63"/>
      <c r="Q524" s="63"/>
      <c r="R524" s="63"/>
      <c r="S524" s="63"/>
      <c r="T524" s="63"/>
      <c r="U524" s="63"/>
      <c r="V524" s="63"/>
      <c r="W524" s="63"/>
      <c r="X524" s="63"/>
      <c r="Y524" s="63"/>
      <c r="Z524" s="63"/>
      <c r="AA524" s="63"/>
      <c r="AB524" s="63"/>
      <c r="AC524" s="63"/>
      <c r="AD524" s="63"/>
      <c r="AE524" s="63"/>
      <c r="AF524" s="63"/>
      <c r="AG524" s="63"/>
      <c r="AH524" s="63"/>
      <c r="AI524" s="63"/>
    </row>
    <row r="525" spans="4:35" s="66" customFormat="1">
      <c r="D525" s="75"/>
      <c r="F525" s="63"/>
      <c r="G525" s="63"/>
      <c r="H525" s="63"/>
      <c r="I525" s="63"/>
      <c r="J525" s="63"/>
      <c r="K525" s="63"/>
      <c r="L525" s="63"/>
      <c r="M525" s="63"/>
      <c r="N525" s="63"/>
      <c r="O525" s="63"/>
      <c r="P525" s="63"/>
      <c r="Q525" s="63"/>
      <c r="R525" s="63"/>
      <c r="S525" s="63"/>
      <c r="T525" s="63"/>
      <c r="U525" s="63"/>
      <c r="V525" s="63"/>
      <c r="W525" s="63"/>
      <c r="X525" s="63"/>
      <c r="Y525" s="63"/>
      <c r="Z525" s="63"/>
      <c r="AA525" s="63"/>
      <c r="AB525" s="63"/>
      <c r="AC525" s="63"/>
      <c r="AD525" s="63"/>
      <c r="AE525" s="63"/>
      <c r="AF525" s="63"/>
      <c r="AG525" s="63"/>
      <c r="AH525" s="63"/>
      <c r="AI525" s="63"/>
    </row>
    <row r="526" spans="4:35" s="66" customFormat="1">
      <c r="D526" s="75"/>
      <c r="F526" s="63"/>
      <c r="G526" s="63"/>
      <c r="H526" s="63"/>
      <c r="I526" s="63"/>
      <c r="J526" s="63"/>
      <c r="K526" s="63"/>
      <c r="L526" s="63"/>
      <c r="M526" s="63"/>
      <c r="N526" s="63"/>
      <c r="O526" s="63"/>
      <c r="P526" s="63"/>
      <c r="Q526" s="63"/>
      <c r="R526" s="63"/>
      <c r="S526" s="63"/>
      <c r="T526" s="63"/>
      <c r="U526" s="63"/>
      <c r="V526" s="63"/>
      <c r="W526" s="63"/>
      <c r="X526" s="63"/>
      <c r="Y526" s="63"/>
      <c r="Z526" s="63"/>
      <c r="AA526" s="63"/>
      <c r="AB526" s="63"/>
      <c r="AC526" s="63"/>
      <c r="AD526" s="63"/>
      <c r="AE526" s="63"/>
      <c r="AF526" s="63"/>
      <c r="AG526" s="63"/>
      <c r="AH526" s="63"/>
      <c r="AI526" s="63"/>
    </row>
    <row r="527" spans="4:35" s="66" customFormat="1">
      <c r="D527" s="75"/>
      <c r="F527" s="63"/>
      <c r="G527" s="63"/>
      <c r="H527" s="63"/>
      <c r="I527" s="63"/>
      <c r="J527" s="63"/>
      <c r="K527" s="63"/>
      <c r="L527" s="63"/>
      <c r="M527" s="63"/>
      <c r="N527" s="63"/>
      <c r="O527" s="63"/>
      <c r="P527" s="63"/>
      <c r="Q527" s="63"/>
      <c r="R527" s="63"/>
      <c r="S527" s="63"/>
      <c r="T527" s="63"/>
      <c r="U527" s="63"/>
      <c r="V527" s="63"/>
      <c r="W527" s="63"/>
      <c r="X527" s="63"/>
      <c r="Y527" s="63"/>
      <c r="Z527" s="63"/>
      <c r="AA527" s="63"/>
      <c r="AB527" s="63"/>
      <c r="AC527" s="63"/>
      <c r="AD527" s="63"/>
      <c r="AE527" s="63"/>
      <c r="AF527" s="63"/>
      <c r="AG527" s="63"/>
      <c r="AH527" s="63"/>
      <c r="AI527" s="63"/>
    </row>
    <row r="528" spans="4:35" s="66" customFormat="1">
      <c r="D528" s="75"/>
      <c r="F528" s="63"/>
      <c r="G528" s="63"/>
      <c r="H528" s="63"/>
      <c r="I528" s="63"/>
      <c r="J528" s="63"/>
      <c r="K528" s="63"/>
      <c r="L528" s="63"/>
      <c r="M528" s="63"/>
      <c r="N528" s="63"/>
      <c r="O528" s="63"/>
      <c r="P528" s="63"/>
      <c r="Q528" s="63"/>
      <c r="R528" s="63"/>
      <c r="S528" s="63"/>
      <c r="T528" s="63"/>
      <c r="U528" s="63"/>
      <c r="V528" s="63"/>
      <c r="W528" s="63"/>
      <c r="X528" s="63"/>
      <c r="Y528" s="63"/>
      <c r="Z528" s="63"/>
      <c r="AA528" s="63"/>
      <c r="AB528" s="63"/>
      <c r="AC528" s="63"/>
      <c r="AD528" s="63"/>
      <c r="AE528" s="63"/>
      <c r="AF528" s="63"/>
      <c r="AG528" s="63"/>
      <c r="AH528" s="63"/>
      <c r="AI528" s="63"/>
    </row>
    <row r="529" spans="4:35" s="66" customFormat="1">
      <c r="D529" s="75"/>
      <c r="F529" s="63"/>
      <c r="G529" s="63"/>
      <c r="H529" s="63"/>
      <c r="I529" s="63"/>
      <c r="J529" s="63"/>
      <c r="K529" s="63"/>
      <c r="L529" s="63"/>
      <c r="M529" s="63"/>
      <c r="N529" s="63"/>
      <c r="O529" s="63"/>
      <c r="P529" s="63"/>
      <c r="Q529" s="63"/>
      <c r="R529" s="63"/>
      <c r="S529" s="63"/>
      <c r="T529" s="63"/>
      <c r="U529" s="63"/>
      <c r="V529" s="63"/>
      <c r="W529" s="63"/>
      <c r="X529" s="63"/>
      <c r="Y529" s="63"/>
      <c r="Z529" s="63"/>
      <c r="AA529" s="63"/>
      <c r="AB529" s="63"/>
      <c r="AC529" s="63"/>
      <c r="AD529" s="63"/>
      <c r="AE529" s="63"/>
      <c r="AF529" s="63"/>
      <c r="AG529" s="63"/>
      <c r="AH529" s="63"/>
      <c r="AI529" s="63"/>
    </row>
    <row r="530" spans="4:35" s="66" customFormat="1">
      <c r="D530" s="75"/>
      <c r="F530" s="63"/>
      <c r="G530" s="63"/>
      <c r="H530" s="63"/>
      <c r="I530" s="63"/>
      <c r="J530" s="63"/>
      <c r="K530" s="63"/>
      <c r="L530" s="63"/>
      <c r="M530" s="63"/>
      <c r="N530" s="63"/>
      <c r="O530" s="63"/>
      <c r="P530" s="63"/>
      <c r="Q530" s="63"/>
      <c r="R530" s="63"/>
      <c r="S530" s="63"/>
      <c r="T530" s="63"/>
      <c r="U530" s="63"/>
      <c r="V530" s="63"/>
      <c r="W530" s="63"/>
      <c r="X530" s="63"/>
      <c r="Y530" s="63"/>
      <c r="Z530" s="63"/>
      <c r="AA530" s="63"/>
      <c r="AB530" s="63"/>
      <c r="AC530" s="63"/>
      <c r="AD530" s="63"/>
      <c r="AE530" s="63"/>
      <c r="AF530" s="63"/>
      <c r="AG530" s="63"/>
      <c r="AH530" s="63"/>
      <c r="AI530" s="63"/>
    </row>
    <row r="531" spans="4:35" s="66" customFormat="1">
      <c r="D531" s="75"/>
      <c r="F531" s="63"/>
      <c r="G531" s="63"/>
      <c r="H531" s="63"/>
      <c r="I531" s="63"/>
      <c r="J531" s="63"/>
      <c r="K531" s="63"/>
      <c r="L531" s="63"/>
      <c r="M531" s="63"/>
      <c r="N531" s="63"/>
      <c r="O531" s="63"/>
      <c r="P531" s="63"/>
      <c r="Q531" s="63"/>
      <c r="R531" s="63"/>
      <c r="S531" s="63"/>
      <c r="T531" s="63"/>
      <c r="U531" s="63"/>
      <c r="V531" s="63"/>
      <c r="W531" s="63"/>
      <c r="X531" s="63"/>
      <c r="Y531" s="63"/>
      <c r="Z531" s="63"/>
      <c r="AA531" s="63"/>
      <c r="AB531" s="63"/>
      <c r="AC531" s="63"/>
      <c r="AD531" s="63"/>
      <c r="AE531" s="63"/>
      <c r="AF531" s="63"/>
      <c r="AG531" s="63"/>
      <c r="AH531" s="63"/>
      <c r="AI531" s="63"/>
    </row>
    <row r="532" spans="4:35" s="66" customFormat="1">
      <c r="D532" s="75"/>
      <c r="F532" s="63"/>
      <c r="G532" s="63"/>
      <c r="H532" s="63"/>
      <c r="I532" s="63"/>
      <c r="J532" s="63"/>
      <c r="K532" s="63"/>
      <c r="L532" s="63"/>
      <c r="M532" s="63"/>
      <c r="N532" s="63"/>
      <c r="O532" s="63"/>
      <c r="P532" s="63"/>
      <c r="Q532" s="63"/>
      <c r="R532" s="63"/>
      <c r="S532" s="63"/>
      <c r="T532" s="63"/>
      <c r="U532" s="63"/>
      <c r="V532" s="63"/>
      <c r="W532" s="63"/>
      <c r="X532" s="63"/>
      <c r="Y532" s="63"/>
      <c r="Z532" s="63"/>
      <c r="AA532" s="63"/>
      <c r="AB532" s="63"/>
      <c r="AC532" s="63"/>
      <c r="AD532" s="63"/>
      <c r="AE532" s="63"/>
      <c r="AF532" s="63"/>
      <c r="AG532" s="63"/>
      <c r="AH532" s="63"/>
      <c r="AI532" s="63"/>
    </row>
    <row r="533" spans="4:35" s="66" customFormat="1">
      <c r="D533" s="75"/>
      <c r="F533" s="63"/>
      <c r="G533" s="63"/>
      <c r="H533" s="63"/>
      <c r="I533" s="63"/>
      <c r="J533" s="63"/>
      <c r="K533" s="63"/>
      <c r="L533" s="63"/>
      <c r="M533" s="63"/>
      <c r="N533" s="63"/>
      <c r="O533" s="63"/>
      <c r="P533" s="63"/>
      <c r="Q533" s="63"/>
      <c r="R533" s="63"/>
      <c r="S533" s="63"/>
      <c r="T533" s="63"/>
      <c r="U533" s="63"/>
      <c r="V533" s="63"/>
      <c r="W533" s="63"/>
      <c r="X533" s="63"/>
      <c r="Y533" s="63"/>
      <c r="Z533" s="63"/>
      <c r="AA533" s="63"/>
      <c r="AB533" s="63"/>
      <c r="AC533" s="63"/>
      <c r="AD533" s="63"/>
      <c r="AE533" s="63"/>
      <c r="AF533" s="63"/>
      <c r="AG533" s="63"/>
      <c r="AH533" s="63"/>
      <c r="AI533" s="63"/>
    </row>
    <row r="534" spans="4:35" s="66" customFormat="1">
      <c r="D534" s="75"/>
      <c r="F534" s="63"/>
      <c r="G534" s="63"/>
      <c r="H534" s="63"/>
      <c r="I534" s="63"/>
      <c r="J534" s="63"/>
      <c r="K534" s="63"/>
      <c r="L534" s="63"/>
      <c r="M534" s="63"/>
      <c r="N534" s="63"/>
      <c r="O534" s="63"/>
      <c r="P534" s="63"/>
      <c r="Q534" s="63"/>
      <c r="R534" s="63"/>
      <c r="S534" s="63"/>
      <c r="T534" s="63"/>
      <c r="U534" s="63"/>
      <c r="V534" s="63"/>
      <c r="W534" s="63"/>
      <c r="X534" s="63"/>
      <c r="Y534" s="63"/>
      <c r="Z534" s="63"/>
      <c r="AA534" s="63"/>
      <c r="AB534" s="63"/>
      <c r="AC534" s="63"/>
      <c r="AD534" s="63"/>
      <c r="AE534" s="63"/>
      <c r="AF534" s="63"/>
      <c r="AG534" s="63"/>
      <c r="AH534" s="63"/>
      <c r="AI534" s="63"/>
    </row>
    <row r="535" spans="4:35" s="66" customFormat="1">
      <c r="D535" s="75"/>
      <c r="F535" s="63"/>
      <c r="G535" s="63"/>
      <c r="H535" s="63"/>
      <c r="I535" s="63"/>
      <c r="J535" s="63"/>
      <c r="K535" s="63"/>
      <c r="L535" s="63"/>
      <c r="M535" s="63"/>
      <c r="N535" s="63"/>
      <c r="O535" s="63"/>
      <c r="P535" s="63"/>
      <c r="Q535" s="63"/>
      <c r="R535" s="63"/>
      <c r="S535" s="63"/>
      <c r="T535" s="63"/>
      <c r="U535" s="63"/>
      <c r="V535" s="63"/>
      <c r="W535" s="63"/>
      <c r="X535" s="63"/>
      <c r="Y535" s="63"/>
      <c r="Z535" s="63"/>
      <c r="AA535" s="63"/>
      <c r="AB535" s="63"/>
      <c r="AC535" s="63"/>
      <c r="AD535" s="63"/>
      <c r="AE535" s="63"/>
      <c r="AF535" s="63"/>
      <c r="AG535" s="63"/>
      <c r="AH535" s="63"/>
      <c r="AI535" s="63"/>
    </row>
    <row r="536" spans="4:35" s="66" customFormat="1">
      <c r="D536" s="75"/>
      <c r="F536" s="63"/>
      <c r="G536" s="63"/>
      <c r="H536" s="63"/>
      <c r="I536" s="63"/>
      <c r="J536" s="63"/>
      <c r="K536" s="63"/>
      <c r="L536" s="63"/>
      <c r="M536" s="63"/>
      <c r="N536" s="63"/>
      <c r="O536" s="63"/>
      <c r="P536" s="63"/>
      <c r="Q536" s="63"/>
      <c r="R536" s="63"/>
      <c r="S536" s="63"/>
      <c r="T536" s="63"/>
      <c r="U536" s="63"/>
      <c r="V536" s="63"/>
      <c r="W536" s="63"/>
      <c r="X536" s="63"/>
      <c r="Y536" s="63"/>
      <c r="Z536" s="63"/>
      <c r="AA536" s="63"/>
      <c r="AB536" s="63"/>
      <c r="AC536" s="63"/>
      <c r="AD536" s="63"/>
      <c r="AE536" s="63"/>
      <c r="AF536" s="63"/>
      <c r="AG536" s="63"/>
      <c r="AH536" s="63"/>
      <c r="AI536" s="63"/>
    </row>
    <row r="537" spans="4:35" s="66" customFormat="1">
      <c r="D537" s="75"/>
      <c r="F537" s="63"/>
      <c r="G537" s="63"/>
      <c r="H537" s="63"/>
      <c r="I537" s="63"/>
      <c r="J537" s="63"/>
      <c r="K537" s="63"/>
      <c r="L537" s="63"/>
      <c r="M537" s="63"/>
      <c r="N537" s="63"/>
      <c r="O537" s="63"/>
      <c r="P537" s="63"/>
      <c r="Q537" s="63"/>
      <c r="R537" s="63"/>
      <c r="S537" s="63"/>
      <c r="T537" s="63"/>
      <c r="U537" s="63"/>
      <c r="V537" s="63"/>
      <c r="W537" s="63"/>
      <c r="X537" s="63"/>
      <c r="Y537" s="63"/>
      <c r="Z537" s="63"/>
      <c r="AA537" s="63"/>
      <c r="AB537" s="63"/>
      <c r="AC537" s="63"/>
      <c r="AD537" s="63"/>
      <c r="AE537" s="63"/>
      <c r="AF537" s="63"/>
      <c r="AG537" s="63"/>
      <c r="AH537" s="63"/>
      <c r="AI537" s="63"/>
    </row>
    <row r="538" spans="4:35" s="66" customFormat="1">
      <c r="D538" s="75"/>
      <c r="F538" s="63"/>
      <c r="G538" s="63"/>
      <c r="H538" s="63"/>
      <c r="I538" s="63"/>
      <c r="J538" s="63"/>
      <c r="K538" s="63"/>
      <c r="L538" s="63"/>
      <c r="M538" s="63"/>
      <c r="N538" s="63"/>
      <c r="O538" s="63"/>
      <c r="P538" s="63"/>
      <c r="Q538" s="63"/>
      <c r="R538" s="63"/>
      <c r="S538" s="63"/>
      <c r="T538" s="63"/>
      <c r="U538" s="63"/>
      <c r="V538" s="63"/>
      <c r="W538" s="63"/>
      <c r="X538" s="63"/>
      <c r="Y538" s="63"/>
      <c r="Z538" s="63"/>
      <c r="AA538" s="63"/>
      <c r="AB538" s="63"/>
      <c r="AC538" s="63"/>
      <c r="AD538" s="63"/>
      <c r="AE538" s="63"/>
      <c r="AF538" s="63"/>
      <c r="AG538" s="63"/>
      <c r="AH538" s="63"/>
      <c r="AI538" s="63"/>
    </row>
    <row r="539" spans="4:35" s="66" customFormat="1">
      <c r="D539" s="75"/>
      <c r="F539" s="63"/>
      <c r="G539" s="63"/>
      <c r="H539" s="63"/>
      <c r="I539" s="63"/>
      <c r="J539" s="63"/>
      <c r="K539" s="63"/>
      <c r="L539" s="63"/>
      <c r="M539" s="63"/>
      <c r="N539" s="63"/>
      <c r="O539" s="63"/>
      <c r="P539" s="63"/>
      <c r="Q539" s="63"/>
      <c r="R539" s="63"/>
      <c r="S539" s="63"/>
      <c r="T539" s="63"/>
      <c r="U539" s="63"/>
      <c r="V539" s="63"/>
      <c r="W539" s="63"/>
      <c r="X539" s="63"/>
      <c r="Y539" s="63"/>
      <c r="Z539" s="63"/>
      <c r="AA539" s="63"/>
      <c r="AB539" s="63"/>
      <c r="AC539" s="63"/>
      <c r="AD539" s="63"/>
      <c r="AE539" s="63"/>
      <c r="AF539" s="63"/>
      <c r="AG539" s="63"/>
      <c r="AH539" s="63"/>
      <c r="AI539" s="63"/>
    </row>
    <row r="540" spans="4:35" s="66" customFormat="1">
      <c r="D540" s="75"/>
      <c r="F540" s="63"/>
      <c r="G540" s="63"/>
      <c r="H540" s="63"/>
      <c r="I540" s="63"/>
      <c r="J540" s="63"/>
      <c r="K540" s="63"/>
      <c r="L540" s="63"/>
      <c r="M540" s="63"/>
      <c r="N540" s="63"/>
      <c r="O540" s="63"/>
      <c r="P540" s="63"/>
      <c r="Q540" s="63"/>
      <c r="R540" s="63"/>
      <c r="S540" s="63"/>
      <c r="T540" s="63"/>
      <c r="U540" s="63"/>
      <c r="V540" s="63"/>
      <c r="W540" s="63"/>
      <c r="X540" s="63"/>
      <c r="Y540" s="63"/>
      <c r="Z540" s="63"/>
      <c r="AA540" s="63"/>
      <c r="AB540" s="63"/>
      <c r="AC540" s="63"/>
      <c r="AD540" s="63"/>
      <c r="AE540" s="63"/>
      <c r="AF540" s="63"/>
      <c r="AG540" s="63"/>
      <c r="AH540" s="63"/>
      <c r="AI540" s="63"/>
    </row>
    <row r="541" spans="4:35" s="66" customFormat="1">
      <c r="D541" s="75"/>
      <c r="F541" s="63"/>
      <c r="G541" s="63"/>
      <c r="H541" s="63"/>
      <c r="I541" s="63"/>
      <c r="J541" s="63"/>
      <c r="K541" s="63"/>
      <c r="L541" s="63"/>
      <c r="M541" s="63"/>
      <c r="N541" s="63"/>
      <c r="O541" s="63"/>
      <c r="P541" s="63"/>
      <c r="Q541" s="63"/>
      <c r="R541" s="63"/>
      <c r="S541" s="63"/>
      <c r="T541" s="63"/>
      <c r="U541" s="63"/>
      <c r="V541" s="63"/>
      <c r="W541" s="63"/>
      <c r="X541" s="63"/>
      <c r="Y541" s="63"/>
      <c r="Z541" s="63"/>
      <c r="AA541" s="63"/>
      <c r="AB541" s="63"/>
      <c r="AC541" s="63"/>
      <c r="AD541" s="63"/>
      <c r="AE541" s="63"/>
      <c r="AF541" s="63"/>
      <c r="AG541" s="63"/>
      <c r="AH541" s="63"/>
      <c r="AI541" s="63"/>
    </row>
    <row r="542" spans="4:35" s="66" customFormat="1">
      <c r="D542" s="75"/>
      <c r="F542" s="63"/>
      <c r="G542" s="63"/>
      <c r="H542" s="63"/>
      <c r="I542" s="63"/>
      <c r="J542" s="63"/>
      <c r="K542" s="63"/>
      <c r="L542" s="63"/>
      <c r="M542" s="63"/>
      <c r="N542" s="63"/>
      <c r="O542" s="63"/>
      <c r="P542" s="63"/>
      <c r="Q542" s="63"/>
      <c r="R542" s="63"/>
      <c r="S542" s="63"/>
      <c r="T542" s="63"/>
      <c r="U542" s="63"/>
      <c r="V542" s="63"/>
      <c r="W542" s="63"/>
      <c r="X542" s="63"/>
      <c r="Y542" s="63"/>
      <c r="Z542" s="63"/>
      <c r="AA542" s="63"/>
      <c r="AB542" s="63"/>
      <c r="AC542" s="63"/>
      <c r="AD542" s="63"/>
      <c r="AE542" s="63"/>
      <c r="AF542" s="63"/>
      <c r="AG542" s="63"/>
      <c r="AH542" s="63"/>
      <c r="AI542" s="63"/>
    </row>
    <row r="543" spans="4:35" s="66" customFormat="1">
      <c r="D543" s="75"/>
      <c r="F543" s="63"/>
      <c r="G543" s="63"/>
      <c r="H543" s="63"/>
      <c r="I543" s="63"/>
      <c r="J543" s="63"/>
      <c r="K543" s="63"/>
      <c r="L543" s="63"/>
      <c r="M543" s="63"/>
      <c r="N543" s="63"/>
      <c r="O543" s="63"/>
      <c r="P543" s="63"/>
      <c r="Q543" s="63"/>
      <c r="R543" s="63"/>
      <c r="S543" s="63"/>
      <c r="T543" s="63"/>
      <c r="U543" s="63"/>
      <c r="V543" s="63"/>
      <c r="W543" s="63"/>
      <c r="X543" s="63"/>
      <c r="Y543" s="63"/>
      <c r="Z543" s="63"/>
      <c r="AA543" s="63"/>
      <c r="AB543" s="63"/>
      <c r="AC543" s="63"/>
      <c r="AD543" s="63"/>
      <c r="AE543" s="63"/>
      <c r="AF543" s="63"/>
      <c r="AG543" s="63"/>
      <c r="AH543" s="63"/>
      <c r="AI543" s="63"/>
    </row>
    <row r="544" spans="4:35" s="66" customFormat="1">
      <c r="D544" s="75"/>
      <c r="F544" s="63"/>
      <c r="G544" s="63"/>
      <c r="H544" s="63"/>
      <c r="I544" s="63"/>
      <c r="J544" s="63"/>
      <c r="K544" s="63"/>
      <c r="L544" s="63"/>
      <c r="M544" s="63"/>
      <c r="N544" s="63"/>
      <c r="O544" s="63"/>
      <c r="P544" s="63"/>
      <c r="Q544" s="63"/>
      <c r="R544" s="63"/>
      <c r="S544" s="63"/>
      <c r="T544" s="63"/>
      <c r="U544" s="63"/>
      <c r="V544" s="63"/>
      <c r="W544" s="63"/>
      <c r="X544" s="63"/>
      <c r="Y544" s="63"/>
      <c r="Z544" s="63"/>
      <c r="AA544" s="63"/>
      <c r="AB544" s="63"/>
      <c r="AC544" s="63"/>
      <c r="AD544" s="63"/>
      <c r="AE544" s="63"/>
      <c r="AF544" s="63"/>
      <c r="AG544" s="63"/>
      <c r="AH544" s="63"/>
      <c r="AI544" s="63"/>
    </row>
    <row r="545" spans="4:35" s="66" customFormat="1">
      <c r="D545" s="75"/>
      <c r="F545" s="63"/>
      <c r="G545" s="63"/>
      <c r="H545" s="63"/>
      <c r="I545" s="63"/>
      <c r="J545" s="63"/>
      <c r="K545" s="63"/>
      <c r="L545" s="63"/>
      <c r="M545" s="63"/>
      <c r="N545" s="63"/>
      <c r="O545" s="63"/>
      <c r="P545" s="63"/>
      <c r="Q545" s="63"/>
      <c r="R545" s="63"/>
      <c r="S545" s="63"/>
      <c r="T545" s="63"/>
      <c r="U545" s="63"/>
      <c r="V545" s="63"/>
      <c r="W545" s="63"/>
      <c r="X545" s="63"/>
      <c r="Y545" s="63"/>
      <c r="Z545" s="63"/>
      <c r="AA545" s="63"/>
      <c r="AB545" s="63"/>
      <c r="AC545" s="63"/>
      <c r="AD545" s="63"/>
      <c r="AE545" s="63"/>
      <c r="AF545" s="63"/>
      <c r="AG545" s="63"/>
      <c r="AH545" s="63"/>
      <c r="AI545" s="63"/>
    </row>
    <row r="546" spans="4:35" s="66" customFormat="1">
      <c r="D546" s="75"/>
      <c r="F546" s="63"/>
      <c r="G546" s="63"/>
      <c r="H546" s="63"/>
      <c r="I546" s="63"/>
      <c r="J546" s="63"/>
      <c r="K546" s="63"/>
      <c r="L546" s="63"/>
      <c r="M546" s="63"/>
      <c r="N546" s="63"/>
      <c r="O546" s="63"/>
      <c r="P546" s="63"/>
      <c r="Q546" s="63"/>
      <c r="R546" s="63"/>
      <c r="S546" s="63"/>
      <c r="T546" s="63"/>
      <c r="U546" s="63"/>
      <c r="V546" s="63"/>
      <c r="W546" s="63"/>
      <c r="X546" s="63"/>
      <c r="Y546" s="63"/>
      <c r="Z546" s="63"/>
      <c r="AA546" s="63"/>
      <c r="AB546" s="63"/>
      <c r="AC546" s="63"/>
      <c r="AD546" s="63"/>
      <c r="AE546" s="63"/>
      <c r="AF546" s="63"/>
      <c r="AG546" s="63"/>
      <c r="AH546" s="63"/>
      <c r="AI546" s="63"/>
    </row>
    <row r="547" spans="4:35" s="66" customFormat="1">
      <c r="D547" s="75"/>
      <c r="F547" s="63"/>
      <c r="G547" s="63"/>
      <c r="H547" s="63"/>
      <c r="I547" s="63"/>
      <c r="J547" s="63"/>
      <c r="K547" s="63"/>
      <c r="L547" s="63"/>
      <c r="M547" s="63"/>
      <c r="N547" s="63"/>
      <c r="O547" s="63"/>
      <c r="P547" s="63"/>
      <c r="Q547" s="63"/>
      <c r="R547" s="63"/>
      <c r="S547" s="63"/>
      <c r="T547" s="63"/>
      <c r="U547" s="63"/>
      <c r="V547" s="63"/>
      <c r="W547" s="63"/>
      <c r="X547" s="63"/>
      <c r="Y547" s="63"/>
      <c r="Z547" s="63"/>
      <c r="AA547" s="63"/>
      <c r="AB547" s="63"/>
      <c r="AC547" s="63"/>
      <c r="AD547" s="63"/>
      <c r="AE547" s="63"/>
      <c r="AF547" s="63"/>
      <c r="AG547" s="63"/>
      <c r="AH547" s="63"/>
      <c r="AI547" s="63"/>
    </row>
    <row r="548" spans="4:35" s="66" customFormat="1">
      <c r="D548" s="75"/>
      <c r="F548" s="63"/>
      <c r="G548" s="63"/>
      <c r="H548" s="63"/>
      <c r="I548" s="63"/>
      <c r="J548" s="63"/>
      <c r="K548" s="63"/>
      <c r="L548" s="63"/>
      <c r="M548" s="63"/>
      <c r="N548" s="63"/>
      <c r="O548" s="63"/>
      <c r="P548" s="63"/>
      <c r="Q548" s="63"/>
      <c r="R548" s="63"/>
      <c r="S548" s="63"/>
      <c r="T548" s="63"/>
      <c r="U548" s="63"/>
      <c r="V548" s="63"/>
      <c r="W548" s="63"/>
      <c r="X548" s="63"/>
      <c r="Y548" s="63"/>
      <c r="Z548" s="63"/>
      <c r="AA548" s="63"/>
      <c r="AB548" s="63"/>
      <c r="AC548" s="63"/>
      <c r="AD548" s="63"/>
      <c r="AE548" s="63"/>
      <c r="AF548" s="63"/>
      <c r="AG548" s="63"/>
      <c r="AH548" s="63"/>
      <c r="AI548" s="63"/>
    </row>
    <row r="549" spans="4:35" s="66" customFormat="1">
      <c r="D549" s="75"/>
      <c r="F549" s="63"/>
      <c r="G549" s="63"/>
      <c r="H549" s="63"/>
      <c r="I549" s="63"/>
      <c r="J549" s="63"/>
      <c r="K549" s="63"/>
      <c r="L549" s="63"/>
      <c r="M549" s="63"/>
      <c r="N549" s="63"/>
      <c r="O549" s="63"/>
      <c r="P549" s="63"/>
      <c r="Q549" s="63"/>
      <c r="R549" s="63"/>
      <c r="S549" s="63"/>
      <c r="T549" s="63"/>
      <c r="U549" s="63"/>
      <c r="V549" s="63"/>
      <c r="W549" s="63"/>
      <c r="X549" s="63"/>
      <c r="Y549" s="63"/>
      <c r="Z549" s="63"/>
      <c r="AA549" s="63"/>
      <c r="AB549" s="63"/>
      <c r="AC549" s="63"/>
      <c r="AD549" s="63"/>
      <c r="AE549" s="63"/>
      <c r="AF549" s="63"/>
      <c r="AG549" s="63"/>
      <c r="AH549" s="63"/>
      <c r="AI549" s="63"/>
    </row>
    <row r="550" spans="4:35" s="66" customFormat="1">
      <c r="D550" s="75"/>
      <c r="F550" s="63"/>
      <c r="G550" s="63"/>
      <c r="H550" s="63"/>
      <c r="I550" s="63"/>
      <c r="J550" s="63"/>
      <c r="K550" s="63"/>
      <c r="L550" s="63"/>
      <c r="M550" s="63"/>
      <c r="N550" s="63"/>
      <c r="O550" s="63"/>
      <c r="P550" s="63"/>
      <c r="Q550" s="63"/>
      <c r="R550" s="63"/>
      <c r="S550" s="63"/>
      <c r="T550" s="63"/>
      <c r="U550" s="63"/>
      <c r="V550" s="63"/>
      <c r="W550" s="63"/>
      <c r="X550" s="63"/>
      <c r="Y550" s="63"/>
      <c r="Z550" s="63"/>
      <c r="AA550" s="63"/>
      <c r="AB550" s="63"/>
      <c r="AC550" s="63"/>
      <c r="AD550" s="63"/>
      <c r="AE550" s="63"/>
      <c r="AF550" s="63"/>
      <c r="AG550" s="63"/>
      <c r="AH550" s="63"/>
      <c r="AI550" s="63"/>
    </row>
    <row r="551" spans="4:35" s="66" customFormat="1">
      <c r="D551" s="75"/>
      <c r="F551" s="63"/>
      <c r="G551" s="63"/>
      <c r="H551" s="63"/>
      <c r="I551" s="63"/>
      <c r="J551" s="63"/>
      <c r="K551" s="63"/>
      <c r="L551" s="63"/>
      <c r="M551" s="63"/>
      <c r="N551" s="63"/>
      <c r="O551" s="63"/>
      <c r="P551" s="63"/>
      <c r="Q551" s="63"/>
      <c r="R551" s="63"/>
      <c r="S551" s="63"/>
      <c r="T551" s="63"/>
      <c r="U551" s="63"/>
      <c r="V551" s="63"/>
      <c r="W551" s="63"/>
      <c r="X551" s="63"/>
      <c r="Y551" s="63"/>
      <c r="Z551" s="63"/>
      <c r="AA551" s="63"/>
      <c r="AB551" s="63"/>
      <c r="AC551" s="63"/>
      <c r="AD551" s="63"/>
      <c r="AE551" s="63"/>
      <c r="AF551" s="63"/>
      <c r="AG551" s="63"/>
      <c r="AH551" s="63"/>
      <c r="AI551" s="63"/>
    </row>
    <row r="552" spans="4:35" s="66" customFormat="1">
      <c r="D552" s="75"/>
      <c r="F552" s="63"/>
      <c r="G552" s="63"/>
      <c r="H552" s="63"/>
      <c r="I552" s="63"/>
      <c r="J552" s="63"/>
      <c r="K552" s="63"/>
      <c r="L552" s="63"/>
      <c r="M552" s="63"/>
      <c r="N552" s="63"/>
      <c r="O552" s="63"/>
      <c r="P552" s="63"/>
      <c r="Q552" s="63"/>
      <c r="R552" s="63"/>
      <c r="S552" s="63"/>
      <c r="T552" s="63"/>
      <c r="U552" s="63"/>
      <c r="V552" s="63"/>
      <c r="W552" s="63"/>
      <c r="X552" s="63"/>
      <c r="Y552" s="63"/>
      <c r="Z552" s="63"/>
      <c r="AA552" s="63"/>
      <c r="AB552" s="63"/>
      <c r="AC552" s="63"/>
      <c r="AD552" s="63"/>
      <c r="AE552" s="63"/>
      <c r="AF552" s="63"/>
      <c r="AG552" s="63"/>
      <c r="AH552" s="63"/>
      <c r="AI552" s="63"/>
    </row>
    <row r="553" spans="4:35" s="66" customFormat="1">
      <c r="D553" s="75"/>
      <c r="F553" s="63"/>
      <c r="G553" s="63"/>
      <c r="H553" s="63"/>
      <c r="I553" s="63"/>
      <c r="J553" s="63"/>
      <c r="K553" s="63"/>
      <c r="L553" s="63"/>
      <c r="M553" s="63"/>
      <c r="N553" s="63"/>
      <c r="O553" s="63"/>
      <c r="P553" s="63"/>
      <c r="Q553" s="63"/>
      <c r="R553" s="63"/>
      <c r="S553" s="63"/>
      <c r="T553" s="63"/>
      <c r="U553" s="63"/>
      <c r="V553" s="63"/>
      <c r="W553" s="63"/>
      <c r="X553" s="63"/>
      <c r="Y553" s="63"/>
      <c r="Z553" s="63"/>
      <c r="AA553" s="63"/>
      <c r="AB553" s="63"/>
      <c r="AC553" s="63"/>
      <c r="AD553" s="63"/>
      <c r="AE553" s="63"/>
      <c r="AF553" s="63"/>
      <c r="AG553" s="63"/>
      <c r="AH553" s="63"/>
      <c r="AI553" s="63"/>
    </row>
    <row r="554" spans="4:35" s="66" customFormat="1">
      <c r="D554" s="75"/>
      <c r="F554" s="63"/>
      <c r="G554" s="63"/>
      <c r="H554" s="63"/>
      <c r="I554" s="63"/>
      <c r="J554" s="63"/>
      <c r="K554" s="63"/>
      <c r="L554" s="63"/>
      <c r="M554" s="63"/>
      <c r="N554" s="63"/>
      <c r="O554" s="63"/>
      <c r="P554" s="63"/>
      <c r="Q554" s="63"/>
      <c r="R554" s="63"/>
      <c r="S554" s="63"/>
      <c r="T554" s="63"/>
      <c r="U554" s="63"/>
      <c r="V554" s="63"/>
      <c r="W554" s="63"/>
      <c r="X554" s="63"/>
      <c r="Y554" s="63"/>
      <c r="Z554" s="63"/>
      <c r="AA554" s="63"/>
      <c r="AB554" s="63"/>
      <c r="AC554" s="63"/>
      <c r="AD554" s="63"/>
      <c r="AE554" s="63"/>
      <c r="AF554" s="63"/>
      <c r="AG554" s="63"/>
      <c r="AH554" s="63"/>
      <c r="AI554" s="63"/>
    </row>
    <row r="555" spans="4:35" s="66" customFormat="1">
      <c r="D555" s="75"/>
      <c r="F555" s="63"/>
      <c r="G555" s="63"/>
      <c r="H555" s="63"/>
      <c r="I555" s="63"/>
      <c r="J555" s="63"/>
      <c r="K555" s="63"/>
      <c r="L555" s="63"/>
      <c r="M555" s="63"/>
      <c r="N555" s="63"/>
      <c r="O555" s="63"/>
      <c r="P555" s="63"/>
      <c r="Q555" s="63"/>
      <c r="R555" s="63"/>
      <c r="S555" s="63"/>
      <c r="T555" s="63"/>
      <c r="U555" s="63"/>
      <c r="V555" s="63"/>
      <c r="W555" s="63"/>
      <c r="X555" s="63"/>
      <c r="Y555" s="63"/>
      <c r="Z555" s="63"/>
      <c r="AA555" s="63"/>
      <c r="AB555" s="63"/>
      <c r="AC555" s="63"/>
      <c r="AD555" s="63"/>
      <c r="AE555" s="63"/>
      <c r="AF555" s="63"/>
      <c r="AG555" s="63"/>
      <c r="AH555" s="63"/>
      <c r="AI555" s="63"/>
    </row>
    <row r="556" spans="4:35" s="66" customFormat="1">
      <c r="D556" s="75"/>
      <c r="F556" s="63"/>
      <c r="G556" s="63"/>
      <c r="H556" s="63"/>
      <c r="I556" s="63"/>
      <c r="J556" s="63"/>
      <c r="K556" s="63"/>
      <c r="L556" s="63"/>
      <c r="M556" s="63"/>
      <c r="N556" s="63"/>
      <c r="O556" s="63"/>
      <c r="P556" s="63"/>
      <c r="Q556" s="63"/>
      <c r="R556" s="63"/>
      <c r="S556" s="63"/>
      <c r="T556" s="63"/>
      <c r="U556" s="63"/>
      <c r="V556" s="63"/>
      <c r="W556" s="63"/>
      <c r="X556" s="63"/>
      <c r="Y556" s="63"/>
      <c r="Z556" s="63"/>
      <c r="AA556" s="63"/>
      <c r="AB556" s="63"/>
      <c r="AC556" s="63"/>
      <c r="AD556" s="63"/>
      <c r="AE556" s="63"/>
      <c r="AF556" s="63"/>
      <c r="AG556" s="63"/>
      <c r="AH556" s="63"/>
      <c r="AI556" s="63"/>
    </row>
    <row r="557" spans="4:35" s="66" customFormat="1">
      <c r="D557" s="75"/>
      <c r="F557" s="63"/>
      <c r="G557" s="63"/>
      <c r="H557" s="63"/>
      <c r="I557" s="63"/>
      <c r="J557" s="63"/>
      <c r="K557" s="63"/>
      <c r="L557" s="63"/>
      <c r="M557" s="63"/>
      <c r="N557" s="63"/>
      <c r="O557" s="63"/>
      <c r="P557" s="63"/>
      <c r="Q557" s="63"/>
      <c r="R557" s="63"/>
      <c r="S557" s="63"/>
      <c r="T557" s="63"/>
      <c r="U557" s="63"/>
      <c r="V557" s="63"/>
      <c r="W557" s="63"/>
      <c r="X557" s="63"/>
      <c r="Y557" s="63"/>
      <c r="Z557" s="63"/>
      <c r="AA557" s="63"/>
      <c r="AB557" s="63"/>
      <c r="AC557" s="63"/>
      <c r="AD557" s="63"/>
      <c r="AE557" s="63"/>
      <c r="AF557" s="63"/>
      <c r="AG557" s="63"/>
      <c r="AH557" s="63"/>
      <c r="AI557" s="63"/>
    </row>
    <row r="558" spans="4:35" s="66" customFormat="1">
      <c r="D558" s="75"/>
      <c r="F558" s="63"/>
      <c r="G558" s="63"/>
      <c r="H558" s="63"/>
      <c r="I558" s="63"/>
      <c r="J558" s="63"/>
      <c r="K558" s="63"/>
      <c r="L558" s="63"/>
      <c r="M558" s="63"/>
      <c r="N558" s="63"/>
      <c r="O558" s="63"/>
      <c r="P558" s="63"/>
      <c r="Q558" s="63"/>
      <c r="R558" s="63"/>
      <c r="S558" s="63"/>
      <c r="T558" s="63"/>
      <c r="U558" s="63"/>
      <c r="V558" s="63"/>
      <c r="W558" s="63"/>
      <c r="X558" s="63"/>
      <c r="Y558" s="63"/>
      <c r="Z558" s="63"/>
      <c r="AA558" s="63"/>
      <c r="AB558" s="63"/>
      <c r="AC558" s="63"/>
      <c r="AD558" s="63"/>
      <c r="AE558" s="63"/>
      <c r="AF558" s="63"/>
      <c r="AG558" s="63"/>
      <c r="AH558" s="63"/>
      <c r="AI558" s="63"/>
    </row>
    <row r="559" spans="4:35" s="66" customFormat="1">
      <c r="D559" s="75"/>
      <c r="F559" s="63"/>
      <c r="G559" s="63"/>
      <c r="H559" s="63"/>
      <c r="I559" s="63"/>
      <c r="J559" s="63"/>
      <c r="K559" s="63"/>
      <c r="L559" s="63"/>
      <c r="M559" s="63"/>
      <c r="N559" s="63"/>
      <c r="O559" s="63"/>
      <c r="P559" s="63"/>
      <c r="Q559" s="63"/>
      <c r="R559" s="63"/>
      <c r="S559" s="63"/>
      <c r="T559" s="63"/>
      <c r="U559" s="63"/>
      <c r="V559" s="63"/>
      <c r="W559" s="63"/>
      <c r="X559" s="63"/>
      <c r="Y559" s="63"/>
      <c r="Z559" s="63"/>
      <c r="AA559" s="63"/>
      <c r="AB559" s="63"/>
      <c r="AC559" s="63"/>
      <c r="AD559" s="63"/>
      <c r="AE559" s="63"/>
      <c r="AF559" s="63"/>
      <c r="AG559" s="63"/>
      <c r="AH559" s="63"/>
      <c r="AI559" s="63"/>
    </row>
    <row r="560" spans="4:35" s="66" customFormat="1">
      <c r="D560" s="75"/>
      <c r="F560" s="63"/>
      <c r="G560" s="63"/>
      <c r="H560" s="63"/>
      <c r="I560" s="63"/>
      <c r="J560" s="63"/>
      <c r="K560" s="63"/>
      <c r="L560" s="63"/>
      <c r="M560" s="63"/>
      <c r="N560" s="63"/>
      <c r="O560" s="63"/>
      <c r="P560" s="63"/>
      <c r="Q560" s="63"/>
      <c r="R560" s="63"/>
      <c r="S560" s="63"/>
      <c r="T560" s="63"/>
      <c r="U560" s="63"/>
      <c r="V560" s="63"/>
      <c r="W560" s="63"/>
      <c r="X560" s="63"/>
      <c r="Y560" s="63"/>
      <c r="Z560" s="63"/>
      <c r="AA560" s="63"/>
      <c r="AB560" s="63"/>
      <c r="AC560" s="63"/>
      <c r="AD560" s="63"/>
      <c r="AE560" s="63"/>
      <c r="AF560" s="63"/>
      <c r="AG560" s="63"/>
      <c r="AH560" s="63"/>
      <c r="AI560" s="63"/>
    </row>
    <row r="561" spans="4:35" s="66" customFormat="1">
      <c r="D561" s="75"/>
      <c r="F561" s="63"/>
      <c r="G561" s="63"/>
      <c r="H561" s="63"/>
      <c r="I561" s="63"/>
      <c r="J561" s="63"/>
      <c r="K561" s="63"/>
      <c r="L561" s="63"/>
      <c r="M561" s="63"/>
      <c r="N561" s="63"/>
      <c r="O561" s="63"/>
      <c r="P561" s="63"/>
      <c r="Q561" s="63"/>
      <c r="R561" s="63"/>
      <c r="S561" s="63"/>
      <c r="T561" s="63"/>
      <c r="U561" s="63"/>
      <c r="V561" s="63"/>
      <c r="W561" s="63"/>
      <c r="X561" s="63"/>
      <c r="Y561" s="63"/>
      <c r="Z561" s="63"/>
      <c r="AA561" s="63"/>
      <c r="AB561" s="63"/>
      <c r="AC561" s="63"/>
      <c r="AD561" s="63"/>
      <c r="AE561" s="63"/>
      <c r="AF561" s="63"/>
      <c r="AG561" s="63"/>
      <c r="AH561" s="63"/>
      <c r="AI561" s="63"/>
    </row>
    <row r="562" spans="4:35" s="66" customFormat="1">
      <c r="D562" s="75"/>
      <c r="F562" s="63"/>
      <c r="G562" s="63"/>
      <c r="H562" s="63"/>
      <c r="I562" s="63"/>
      <c r="J562" s="63"/>
      <c r="K562" s="63"/>
      <c r="L562" s="63"/>
      <c r="M562" s="63"/>
      <c r="N562" s="63"/>
      <c r="O562" s="63"/>
      <c r="P562" s="63"/>
      <c r="Q562" s="63"/>
      <c r="R562" s="63"/>
      <c r="S562" s="63"/>
      <c r="T562" s="63"/>
      <c r="U562" s="63"/>
      <c r="V562" s="63"/>
      <c r="W562" s="63"/>
      <c r="X562" s="63"/>
      <c r="Y562" s="63"/>
      <c r="Z562" s="63"/>
      <c r="AA562" s="63"/>
      <c r="AB562" s="63"/>
      <c r="AC562" s="63"/>
      <c r="AD562" s="63"/>
      <c r="AE562" s="63"/>
      <c r="AF562" s="63"/>
      <c r="AG562" s="63"/>
      <c r="AH562" s="63"/>
      <c r="AI562" s="63"/>
    </row>
    <row r="563" spans="4:35" s="66" customFormat="1">
      <c r="D563" s="75"/>
      <c r="F563" s="63"/>
      <c r="G563" s="63"/>
      <c r="H563" s="63"/>
      <c r="I563" s="63"/>
      <c r="J563" s="63"/>
      <c r="K563" s="63"/>
      <c r="L563" s="63"/>
      <c r="M563" s="63"/>
      <c r="N563" s="63"/>
      <c r="O563" s="63"/>
      <c r="P563" s="63"/>
      <c r="Q563" s="63"/>
      <c r="R563" s="63"/>
      <c r="S563" s="63"/>
      <c r="T563" s="63"/>
      <c r="U563" s="63"/>
      <c r="V563" s="63"/>
      <c r="W563" s="63"/>
      <c r="X563" s="63"/>
      <c r="Y563" s="63"/>
      <c r="Z563" s="63"/>
      <c r="AA563" s="63"/>
      <c r="AB563" s="63"/>
      <c r="AC563" s="63"/>
      <c r="AD563" s="63"/>
      <c r="AE563" s="63"/>
      <c r="AF563" s="63"/>
      <c r="AG563" s="63"/>
      <c r="AH563" s="63"/>
      <c r="AI563" s="63"/>
    </row>
    <row r="564" spans="4:35" s="66" customFormat="1">
      <c r="D564" s="75"/>
      <c r="F564" s="63"/>
      <c r="G564" s="63"/>
      <c r="H564" s="63"/>
      <c r="I564" s="63"/>
      <c r="J564" s="63"/>
      <c r="K564" s="63"/>
      <c r="L564" s="63"/>
      <c r="M564" s="63"/>
      <c r="N564" s="63"/>
      <c r="O564" s="63"/>
      <c r="P564" s="63"/>
      <c r="Q564" s="63"/>
      <c r="R564" s="63"/>
      <c r="S564" s="63"/>
      <c r="T564" s="63"/>
      <c r="U564" s="63"/>
      <c r="V564" s="63"/>
      <c r="W564" s="63"/>
      <c r="X564" s="63"/>
      <c r="Y564" s="63"/>
      <c r="Z564" s="63"/>
      <c r="AA564" s="63"/>
      <c r="AB564" s="63"/>
      <c r="AC564" s="63"/>
      <c r="AD564" s="63"/>
      <c r="AE564" s="63"/>
      <c r="AF564" s="63"/>
      <c r="AG564" s="63"/>
      <c r="AH564" s="63"/>
      <c r="AI564" s="63"/>
    </row>
    <row r="565" spans="4:35" s="66" customFormat="1">
      <c r="D565" s="75"/>
      <c r="F565" s="63"/>
      <c r="G565" s="63"/>
      <c r="H565" s="63"/>
      <c r="I565" s="63"/>
      <c r="J565" s="63"/>
      <c r="K565" s="63"/>
      <c r="L565" s="63"/>
      <c r="M565" s="63"/>
      <c r="N565" s="63"/>
      <c r="O565" s="63"/>
      <c r="P565" s="63"/>
      <c r="Q565" s="63"/>
      <c r="R565" s="63"/>
      <c r="S565" s="63"/>
      <c r="T565" s="63"/>
      <c r="U565" s="63"/>
      <c r="V565" s="63"/>
      <c r="W565" s="63"/>
      <c r="X565" s="63"/>
      <c r="Y565" s="63"/>
      <c r="Z565" s="63"/>
      <c r="AA565" s="63"/>
      <c r="AB565" s="63"/>
      <c r="AC565" s="63"/>
      <c r="AD565" s="63"/>
      <c r="AE565" s="63"/>
      <c r="AF565" s="63"/>
      <c r="AG565" s="63"/>
      <c r="AH565" s="63"/>
      <c r="AI565" s="63"/>
    </row>
    <row r="566" spans="4:35" s="66" customFormat="1">
      <c r="D566" s="75"/>
      <c r="F566" s="63"/>
      <c r="G566" s="63"/>
      <c r="H566" s="63"/>
      <c r="I566" s="63"/>
      <c r="J566" s="63"/>
      <c r="K566" s="63"/>
      <c r="L566" s="63"/>
      <c r="M566" s="63"/>
      <c r="N566" s="63"/>
      <c r="O566" s="63"/>
      <c r="P566" s="63"/>
      <c r="Q566" s="63"/>
      <c r="R566" s="63"/>
      <c r="S566" s="63"/>
      <c r="T566" s="63"/>
      <c r="U566" s="63"/>
      <c r="V566" s="63"/>
      <c r="W566" s="63"/>
      <c r="X566" s="63"/>
      <c r="Y566" s="63"/>
      <c r="Z566" s="63"/>
      <c r="AA566" s="63"/>
      <c r="AB566" s="63"/>
      <c r="AC566" s="63"/>
      <c r="AD566" s="63"/>
      <c r="AE566" s="63"/>
      <c r="AF566" s="63"/>
      <c r="AG566" s="63"/>
      <c r="AH566" s="63"/>
      <c r="AI566" s="63"/>
    </row>
    <row r="567" spans="4:35" s="66" customFormat="1">
      <c r="D567" s="75"/>
      <c r="F567" s="63"/>
      <c r="G567" s="63"/>
      <c r="H567" s="63"/>
      <c r="I567" s="63"/>
      <c r="J567" s="63"/>
      <c r="K567" s="63"/>
      <c r="L567" s="63"/>
      <c r="M567" s="63"/>
      <c r="N567" s="63"/>
      <c r="O567" s="63"/>
      <c r="P567" s="63"/>
      <c r="Q567" s="63"/>
      <c r="R567" s="63"/>
      <c r="S567" s="63"/>
      <c r="T567" s="63"/>
      <c r="U567" s="63"/>
      <c r="V567" s="63"/>
      <c r="W567" s="63"/>
      <c r="X567" s="63"/>
      <c r="Y567" s="63"/>
      <c r="Z567" s="63"/>
      <c r="AA567" s="63"/>
      <c r="AB567" s="63"/>
      <c r="AC567" s="63"/>
      <c r="AD567" s="63"/>
      <c r="AE567" s="63"/>
      <c r="AF567" s="63"/>
      <c r="AG567" s="63"/>
      <c r="AH567" s="63"/>
      <c r="AI567" s="63"/>
    </row>
    <row r="568" spans="4:35" s="66" customFormat="1">
      <c r="D568" s="75"/>
      <c r="F568" s="63"/>
      <c r="G568" s="63"/>
      <c r="H568" s="63"/>
      <c r="I568" s="63"/>
      <c r="J568" s="63"/>
      <c r="K568" s="63"/>
      <c r="L568" s="63"/>
      <c r="M568" s="63"/>
      <c r="N568" s="63"/>
      <c r="O568" s="63"/>
      <c r="P568" s="63"/>
      <c r="Q568" s="63"/>
      <c r="R568" s="63"/>
      <c r="S568" s="63"/>
      <c r="T568" s="63"/>
      <c r="U568" s="63"/>
      <c r="V568" s="63"/>
      <c r="W568" s="63"/>
      <c r="X568" s="63"/>
      <c r="Y568" s="63"/>
      <c r="Z568" s="63"/>
      <c r="AA568" s="63"/>
      <c r="AB568" s="63"/>
      <c r="AC568" s="63"/>
      <c r="AD568" s="63"/>
      <c r="AE568" s="63"/>
      <c r="AF568" s="63"/>
      <c r="AG568" s="63"/>
      <c r="AH568" s="63"/>
      <c r="AI568" s="63"/>
    </row>
    <row r="569" spans="4:35" s="66" customFormat="1">
      <c r="D569" s="75"/>
      <c r="F569" s="63"/>
      <c r="G569" s="63"/>
      <c r="H569" s="63"/>
      <c r="I569" s="63"/>
      <c r="J569" s="63"/>
      <c r="K569" s="63"/>
      <c r="L569" s="63"/>
      <c r="M569" s="63"/>
      <c r="N569" s="63"/>
      <c r="O569" s="63"/>
      <c r="P569" s="63"/>
      <c r="Q569" s="63"/>
      <c r="R569" s="63"/>
      <c r="S569" s="63"/>
      <c r="T569" s="63"/>
      <c r="U569" s="63"/>
      <c r="V569" s="63"/>
      <c r="W569" s="63"/>
      <c r="X569" s="63"/>
      <c r="Y569" s="63"/>
      <c r="Z569" s="63"/>
      <c r="AA569" s="63"/>
      <c r="AB569" s="63"/>
      <c r="AC569" s="63"/>
      <c r="AD569" s="63"/>
      <c r="AE569" s="63"/>
      <c r="AF569" s="63"/>
      <c r="AG569" s="63"/>
      <c r="AH569" s="63"/>
      <c r="AI569" s="63"/>
    </row>
    <row r="570" spans="4:35" s="66" customFormat="1">
      <c r="D570" s="75"/>
      <c r="F570" s="63"/>
      <c r="G570" s="63"/>
      <c r="H570" s="63"/>
      <c r="I570" s="63"/>
      <c r="J570" s="63"/>
      <c r="K570" s="63"/>
      <c r="L570" s="63"/>
      <c r="M570" s="63"/>
      <c r="N570" s="63"/>
      <c r="O570" s="63"/>
      <c r="P570" s="63"/>
      <c r="Q570" s="63"/>
      <c r="R570" s="63"/>
      <c r="S570" s="63"/>
      <c r="T570" s="63"/>
      <c r="U570" s="63"/>
      <c r="V570" s="63"/>
      <c r="W570" s="63"/>
      <c r="X570" s="63"/>
      <c r="Y570" s="63"/>
      <c r="Z570" s="63"/>
      <c r="AA570" s="63"/>
      <c r="AB570" s="63"/>
      <c r="AC570" s="63"/>
      <c r="AD570" s="63"/>
      <c r="AE570" s="63"/>
      <c r="AF570" s="63"/>
      <c r="AG570" s="63"/>
      <c r="AH570" s="63"/>
      <c r="AI570" s="63"/>
    </row>
    <row r="571" spans="4:35" s="66" customFormat="1">
      <c r="D571" s="75"/>
      <c r="F571" s="63"/>
      <c r="G571" s="63"/>
      <c r="H571" s="63"/>
      <c r="I571" s="63"/>
      <c r="J571" s="63"/>
      <c r="K571" s="63"/>
      <c r="L571" s="63"/>
      <c r="M571" s="63"/>
      <c r="N571" s="63"/>
      <c r="O571" s="63"/>
      <c r="P571" s="63"/>
      <c r="Q571" s="63"/>
      <c r="R571" s="63"/>
      <c r="S571" s="63"/>
      <c r="T571" s="63"/>
      <c r="U571" s="63"/>
      <c r="V571" s="63"/>
      <c r="W571" s="63"/>
      <c r="X571" s="63"/>
      <c r="Y571" s="63"/>
      <c r="Z571" s="63"/>
      <c r="AA571" s="63"/>
      <c r="AB571" s="63"/>
      <c r="AC571" s="63"/>
      <c r="AD571" s="63"/>
      <c r="AE571" s="63"/>
      <c r="AF571" s="63"/>
      <c r="AG571" s="63"/>
      <c r="AH571" s="63"/>
      <c r="AI571" s="63"/>
    </row>
    <row r="572" spans="4:35" s="66" customFormat="1">
      <c r="D572" s="75"/>
      <c r="F572" s="63"/>
      <c r="G572" s="63"/>
      <c r="H572" s="63"/>
      <c r="I572" s="63"/>
      <c r="J572" s="63"/>
      <c r="K572" s="63"/>
      <c r="L572" s="63"/>
      <c r="M572" s="63"/>
      <c r="N572" s="63"/>
      <c r="O572" s="63"/>
      <c r="P572" s="63"/>
      <c r="Q572" s="63"/>
      <c r="R572" s="63"/>
      <c r="S572" s="63"/>
      <c r="T572" s="63"/>
      <c r="U572" s="63"/>
      <c r="V572" s="63"/>
      <c r="W572" s="63"/>
      <c r="X572" s="63"/>
      <c r="Y572" s="63"/>
      <c r="Z572" s="63"/>
      <c r="AA572" s="63"/>
      <c r="AB572" s="63"/>
      <c r="AC572" s="63"/>
      <c r="AD572" s="63"/>
      <c r="AE572" s="63"/>
      <c r="AF572" s="63"/>
      <c r="AG572" s="63"/>
      <c r="AH572" s="63"/>
      <c r="AI572" s="63"/>
    </row>
    <row r="573" spans="4:35" s="66" customFormat="1">
      <c r="D573" s="75"/>
      <c r="F573" s="63"/>
      <c r="G573" s="63"/>
      <c r="H573" s="63"/>
      <c r="I573" s="63"/>
      <c r="J573" s="63"/>
      <c r="K573" s="63"/>
      <c r="L573" s="63"/>
      <c r="M573" s="63"/>
      <c r="N573" s="63"/>
      <c r="O573" s="63"/>
      <c r="P573" s="63"/>
      <c r="Q573" s="63"/>
      <c r="R573" s="63"/>
      <c r="S573" s="63"/>
      <c r="T573" s="63"/>
      <c r="U573" s="63"/>
      <c r="V573" s="63"/>
      <c r="W573" s="63"/>
      <c r="X573" s="63"/>
      <c r="Y573" s="63"/>
      <c r="Z573" s="63"/>
      <c r="AA573" s="63"/>
      <c r="AB573" s="63"/>
      <c r="AC573" s="63"/>
      <c r="AD573" s="63"/>
      <c r="AE573" s="63"/>
      <c r="AF573" s="63"/>
      <c r="AG573" s="63"/>
      <c r="AH573" s="63"/>
      <c r="AI573" s="63"/>
    </row>
    <row r="574" spans="4:35" s="66" customFormat="1">
      <c r="D574" s="75"/>
      <c r="F574" s="63"/>
      <c r="G574" s="63"/>
      <c r="H574" s="63"/>
      <c r="I574" s="63"/>
      <c r="J574" s="63"/>
      <c r="K574" s="63"/>
      <c r="L574" s="63"/>
      <c r="M574" s="63"/>
      <c r="N574" s="63"/>
      <c r="O574" s="63"/>
      <c r="P574" s="63"/>
      <c r="Q574" s="63"/>
      <c r="R574" s="63"/>
      <c r="S574" s="63"/>
      <c r="T574" s="63"/>
      <c r="U574" s="63"/>
      <c r="V574" s="63"/>
      <c r="W574" s="63"/>
      <c r="X574" s="63"/>
      <c r="Y574" s="63"/>
      <c r="Z574" s="63"/>
      <c r="AA574" s="63"/>
      <c r="AB574" s="63"/>
      <c r="AC574" s="63"/>
      <c r="AD574" s="63"/>
      <c r="AE574" s="63"/>
      <c r="AF574" s="63"/>
      <c r="AG574" s="63"/>
      <c r="AH574" s="63"/>
      <c r="AI574" s="63"/>
    </row>
    <row r="575" spans="4:35" s="66" customFormat="1">
      <c r="D575" s="75"/>
      <c r="F575" s="63"/>
      <c r="G575" s="63"/>
      <c r="H575" s="63"/>
      <c r="I575" s="63"/>
      <c r="J575" s="63"/>
      <c r="K575" s="63"/>
      <c r="L575" s="63"/>
      <c r="M575" s="63"/>
      <c r="N575" s="63"/>
      <c r="O575" s="63"/>
      <c r="P575" s="63"/>
      <c r="Q575" s="63"/>
      <c r="R575" s="63"/>
      <c r="S575" s="63"/>
      <c r="T575" s="63"/>
      <c r="U575" s="63"/>
      <c r="V575" s="63"/>
      <c r="W575" s="63"/>
      <c r="X575" s="63"/>
      <c r="Y575" s="63"/>
      <c r="Z575" s="63"/>
      <c r="AA575" s="63"/>
      <c r="AB575" s="63"/>
      <c r="AC575" s="63"/>
      <c r="AD575" s="63"/>
      <c r="AE575" s="63"/>
      <c r="AF575" s="63"/>
      <c r="AG575" s="63"/>
      <c r="AH575" s="63"/>
      <c r="AI575" s="63"/>
    </row>
    <row r="576" spans="4:35" s="66" customFormat="1">
      <c r="D576" s="75"/>
      <c r="F576" s="63"/>
      <c r="G576" s="63"/>
      <c r="H576" s="63"/>
      <c r="I576" s="63"/>
      <c r="J576" s="63"/>
      <c r="K576" s="63"/>
      <c r="L576" s="63"/>
      <c r="M576" s="63"/>
      <c r="N576" s="63"/>
      <c r="O576" s="63"/>
      <c r="P576" s="63"/>
      <c r="Q576" s="63"/>
      <c r="R576" s="63"/>
      <c r="S576" s="63"/>
      <c r="T576" s="63"/>
      <c r="U576" s="63"/>
      <c r="V576" s="63"/>
      <c r="W576" s="63"/>
      <c r="X576" s="63"/>
      <c r="Y576" s="63"/>
      <c r="Z576" s="63"/>
      <c r="AA576" s="63"/>
      <c r="AB576" s="63"/>
      <c r="AC576" s="63"/>
      <c r="AD576" s="63"/>
      <c r="AE576" s="63"/>
      <c r="AF576" s="63"/>
      <c r="AG576" s="63"/>
      <c r="AH576" s="63"/>
      <c r="AI576" s="63"/>
    </row>
    <row r="577" spans="4:35" s="66" customFormat="1">
      <c r="D577" s="75"/>
      <c r="F577" s="63"/>
      <c r="G577" s="63"/>
      <c r="H577" s="63"/>
      <c r="I577" s="63"/>
      <c r="J577" s="63"/>
      <c r="K577" s="63"/>
      <c r="L577" s="63"/>
      <c r="M577" s="63"/>
      <c r="N577" s="63"/>
      <c r="O577" s="63"/>
      <c r="P577" s="63"/>
      <c r="Q577" s="63"/>
      <c r="R577" s="63"/>
      <c r="S577" s="63"/>
      <c r="T577" s="63"/>
      <c r="U577" s="63"/>
      <c r="V577" s="63"/>
      <c r="W577" s="63"/>
      <c r="X577" s="63"/>
      <c r="Y577" s="63"/>
      <c r="Z577" s="63"/>
      <c r="AA577" s="63"/>
      <c r="AB577" s="63"/>
      <c r="AC577" s="63"/>
      <c r="AD577" s="63"/>
      <c r="AE577" s="63"/>
      <c r="AF577" s="63"/>
      <c r="AG577" s="63"/>
      <c r="AH577" s="63"/>
      <c r="AI577" s="63"/>
    </row>
    <row r="578" spans="4:35" s="66" customFormat="1">
      <c r="D578" s="75"/>
      <c r="F578" s="63"/>
      <c r="G578" s="63"/>
      <c r="H578" s="63"/>
      <c r="I578" s="63"/>
      <c r="J578" s="63"/>
      <c r="K578" s="63"/>
      <c r="L578" s="63"/>
      <c r="M578" s="63"/>
      <c r="N578" s="63"/>
      <c r="O578" s="63"/>
      <c r="P578" s="63"/>
      <c r="Q578" s="63"/>
      <c r="R578" s="63"/>
      <c r="S578" s="63"/>
      <c r="T578" s="63"/>
      <c r="U578" s="63"/>
      <c r="V578" s="63"/>
      <c r="W578" s="63"/>
      <c r="X578" s="63"/>
      <c r="Y578" s="63"/>
      <c r="Z578" s="63"/>
      <c r="AA578" s="63"/>
      <c r="AB578" s="63"/>
      <c r="AC578" s="63"/>
      <c r="AD578" s="63"/>
      <c r="AE578" s="63"/>
      <c r="AF578" s="63"/>
      <c r="AG578" s="63"/>
      <c r="AH578" s="63"/>
      <c r="AI578" s="63"/>
    </row>
    <row r="579" spans="4:35" s="66" customFormat="1">
      <c r="D579" s="75"/>
      <c r="F579" s="63"/>
      <c r="G579" s="63"/>
      <c r="H579" s="63"/>
      <c r="I579" s="63"/>
      <c r="J579" s="63"/>
      <c r="K579" s="63"/>
      <c r="L579" s="63"/>
      <c r="M579" s="63"/>
      <c r="N579" s="63"/>
      <c r="O579" s="63"/>
      <c r="P579" s="63"/>
      <c r="Q579" s="63"/>
      <c r="R579" s="63"/>
      <c r="S579" s="63"/>
      <c r="T579" s="63"/>
      <c r="U579" s="63"/>
      <c r="V579" s="63"/>
      <c r="W579" s="63"/>
      <c r="X579" s="63"/>
      <c r="Y579" s="63"/>
      <c r="Z579" s="63"/>
      <c r="AA579" s="63"/>
      <c r="AB579" s="63"/>
      <c r="AC579" s="63"/>
      <c r="AD579" s="63"/>
      <c r="AE579" s="63"/>
      <c r="AF579" s="63"/>
      <c r="AG579" s="63"/>
      <c r="AH579" s="63"/>
      <c r="AI579" s="63"/>
    </row>
    <row r="580" spans="4:35" s="66" customFormat="1">
      <c r="D580" s="75"/>
      <c r="F580" s="63"/>
      <c r="G580" s="63"/>
      <c r="H580" s="63"/>
      <c r="I580" s="63"/>
      <c r="J580" s="63"/>
      <c r="K580" s="63"/>
      <c r="L580" s="63"/>
      <c r="M580" s="63"/>
      <c r="N580" s="63"/>
      <c r="O580" s="63"/>
      <c r="P580" s="63"/>
      <c r="Q580" s="63"/>
      <c r="R580" s="63"/>
      <c r="S580" s="63"/>
      <c r="T580" s="63"/>
      <c r="U580" s="63"/>
      <c r="V580" s="63"/>
      <c r="W580" s="63"/>
      <c r="X580" s="63"/>
      <c r="Y580" s="63"/>
      <c r="Z580" s="63"/>
      <c r="AA580" s="63"/>
      <c r="AB580" s="63"/>
      <c r="AC580" s="63"/>
      <c r="AD580" s="63"/>
      <c r="AE580" s="63"/>
      <c r="AF580" s="63"/>
      <c r="AG580" s="63"/>
      <c r="AH580" s="63"/>
      <c r="AI580" s="63"/>
    </row>
    <row r="581" spans="4:35" s="66" customFormat="1">
      <c r="D581" s="75"/>
      <c r="F581" s="63"/>
      <c r="G581" s="63"/>
      <c r="H581" s="63"/>
      <c r="I581" s="63"/>
      <c r="J581" s="63"/>
      <c r="K581" s="63"/>
      <c r="L581" s="63"/>
      <c r="M581" s="63"/>
      <c r="N581" s="63"/>
      <c r="O581" s="63"/>
      <c r="P581" s="63"/>
      <c r="Q581" s="63"/>
      <c r="R581" s="63"/>
      <c r="S581" s="63"/>
      <c r="T581" s="63"/>
      <c r="U581" s="63"/>
      <c r="V581" s="63"/>
      <c r="W581" s="63"/>
      <c r="X581" s="63"/>
      <c r="Y581" s="63"/>
      <c r="Z581" s="63"/>
      <c r="AA581" s="63"/>
      <c r="AB581" s="63"/>
      <c r="AC581" s="63"/>
      <c r="AD581" s="63"/>
      <c r="AE581" s="63"/>
      <c r="AF581" s="63"/>
      <c r="AG581" s="63"/>
      <c r="AH581" s="63"/>
      <c r="AI581" s="63"/>
    </row>
    <row r="582" spans="4:35" s="66" customFormat="1">
      <c r="D582" s="75"/>
      <c r="F582" s="63"/>
      <c r="G582" s="63"/>
      <c r="H582" s="63"/>
      <c r="I582" s="63"/>
      <c r="J582" s="63"/>
      <c r="K582" s="63"/>
      <c r="L582" s="63"/>
      <c r="M582" s="63"/>
      <c r="N582" s="63"/>
      <c r="O582" s="63"/>
      <c r="P582" s="63"/>
      <c r="Q582" s="63"/>
      <c r="R582" s="63"/>
      <c r="S582" s="63"/>
      <c r="T582" s="63"/>
      <c r="U582" s="63"/>
      <c r="V582" s="63"/>
      <c r="W582" s="63"/>
      <c r="X582" s="63"/>
      <c r="Y582" s="63"/>
      <c r="Z582" s="63"/>
      <c r="AA582" s="63"/>
      <c r="AB582" s="63"/>
      <c r="AC582" s="63"/>
      <c r="AD582" s="63"/>
      <c r="AE582" s="63"/>
      <c r="AF582" s="63"/>
      <c r="AG582" s="63"/>
      <c r="AH582" s="63"/>
      <c r="AI582" s="63"/>
    </row>
    <row r="583" spans="4:35" s="66" customFormat="1">
      <c r="D583" s="75"/>
      <c r="F583" s="63"/>
      <c r="G583" s="63"/>
      <c r="H583" s="63"/>
      <c r="I583" s="63"/>
      <c r="J583" s="63"/>
      <c r="K583" s="63"/>
      <c r="L583" s="63"/>
      <c r="M583" s="63"/>
      <c r="N583" s="63"/>
      <c r="O583" s="63"/>
      <c r="P583" s="63"/>
      <c r="Q583" s="63"/>
      <c r="R583" s="63"/>
      <c r="S583" s="63"/>
      <c r="T583" s="63"/>
      <c r="U583" s="63"/>
      <c r="V583" s="63"/>
      <c r="W583" s="63"/>
      <c r="X583" s="63"/>
      <c r="Y583" s="63"/>
      <c r="Z583" s="63"/>
      <c r="AA583" s="63"/>
      <c r="AB583" s="63"/>
      <c r="AC583" s="63"/>
      <c r="AD583" s="63"/>
      <c r="AE583" s="63"/>
      <c r="AF583" s="63"/>
      <c r="AG583" s="63"/>
      <c r="AH583" s="63"/>
      <c r="AI583" s="63"/>
    </row>
    <row r="584" spans="4:35" s="66" customFormat="1">
      <c r="D584" s="75"/>
      <c r="F584" s="63"/>
      <c r="G584" s="63"/>
      <c r="H584" s="63"/>
      <c r="I584" s="63"/>
      <c r="J584" s="63"/>
      <c r="K584" s="63"/>
      <c r="L584" s="63"/>
      <c r="M584" s="63"/>
      <c r="N584" s="63"/>
      <c r="O584" s="63"/>
      <c r="P584" s="63"/>
      <c r="Q584" s="63"/>
      <c r="R584" s="63"/>
      <c r="S584" s="63"/>
      <c r="T584" s="63"/>
      <c r="U584" s="63"/>
      <c r="V584" s="63"/>
      <c r="W584" s="63"/>
      <c r="X584" s="63"/>
      <c r="Y584" s="63"/>
      <c r="Z584" s="63"/>
      <c r="AA584" s="63"/>
      <c r="AB584" s="63"/>
      <c r="AC584" s="63"/>
      <c r="AD584" s="63"/>
      <c r="AE584" s="63"/>
      <c r="AF584" s="63"/>
      <c r="AG584" s="63"/>
      <c r="AH584" s="63"/>
      <c r="AI584" s="63"/>
    </row>
    <row r="585" spans="4:35" s="66" customFormat="1">
      <c r="D585" s="75"/>
      <c r="F585" s="63"/>
      <c r="G585" s="63"/>
      <c r="H585" s="63"/>
      <c r="I585" s="63"/>
      <c r="J585" s="63"/>
      <c r="K585" s="63"/>
      <c r="L585" s="63"/>
      <c r="M585" s="63"/>
      <c r="N585" s="63"/>
      <c r="O585" s="63"/>
      <c r="P585" s="63"/>
      <c r="Q585" s="63"/>
      <c r="R585" s="63"/>
      <c r="S585" s="63"/>
      <c r="T585" s="63"/>
      <c r="U585" s="63"/>
      <c r="V585" s="63"/>
      <c r="W585" s="63"/>
      <c r="X585" s="63"/>
      <c r="Y585" s="63"/>
      <c r="Z585" s="63"/>
      <c r="AA585" s="63"/>
      <c r="AB585" s="63"/>
      <c r="AC585" s="63"/>
      <c r="AD585" s="63"/>
      <c r="AE585" s="63"/>
      <c r="AF585" s="63"/>
      <c r="AG585" s="63"/>
      <c r="AH585" s="63"/>
      <c r="AI585" s="63"/>
    </row>
    <row r="586" spans="4:35" s="66" customFormat="1">
      <c r="D586" s="75"/>
      <c r="F586" s="63"/>
      <c r="G586" s="63"/>
      <c r="H586" s="63"/>
      <c r="I586" s="63"/>
      <c r="J586" s="63"/>
      <c r="K586" s="63"/>
      <c r="L586" s="63"/>
      <c r="M586" s="63"/>
      <c r="N586" s="63"/>
      <c r="O586" s="63"/>
      <c r="P586" s="63"/>
      <c r="Q586" s="63"/>
      <c r="R586" s="63"/>
      <c r="S586" s="63"/>
      <c r="T586" s="63"/>
      <c r="U586" s="63"/>
      <c r="V586" s="63"/>
      <c r="W586" s="63"/>
      <c r="X586" s="63"/>
      <c r="Y586" s="63"/>
      <c r="Z586" s="63"/>
      <c r="AA586" s="63"/>
      <c r="AB586" s="63"/>
      <c r="AC586" s="63"/>
      <c r="AD586" s="63"/>
      <c r="AE586" s="63"/>
      <c r="AF586" s="63"/>
      <c r="AG586" s="63"/>
      <c r="AH586" s="63"/>
      <c r="AI586" s="63"/>
    </row>
    <row r="587" spans="4:35" s="66" customFormat="1">
      <c r="D587" s="75"/>
      <c r="F587" s="63"/>
      <c r="G587" s="63"/>
      <c r="H587" s="63"/>
      <c r="I587" s="63"/>
      <c r="J587" s="63"/>
      <c r="K587" s="63"/>
      <c r="L587" s="63"/>
      <c r="M587" s="63"/>
      <c r="N587" s="63"/>
      <c r="O587" s="63"/>
      <c r="P587" s="63"/>
      <c r="Q587" s="63"/>
      <c r="R587" s="63"/>
      <c r="S587" s="63"/>
      <c r="T587" s="63"/>
      <c r="U587" s="63"/>
      <c r="V587" s="63"/>
      <c r="W587" s="63"/>
      <c r="X587" s="63"/>
      <c r="Y587" s="63"/>
      <c r="Z587" s="63"/>
      <c r="AA587" s="63"/>
      <c r="AB587" s="63"/>
      <c r="AC587" s="63"/>
      <c r="AD587" s="63"/>
      <c r="AE587" s="63"/>
      <c r="AF587" s="63"/>
      <c r="AG587" s="63"/>
      <c r="AH587" s="63"/>
      <c r="AI587" s="63"/>
    </row>
    <row r="588" spans="4:35" s="66" customFormat="1">
      <c r="D588" s="75"/>
      <c r="F588" s="63"/>
      <c r="G588" s="63"/>
      <c r="H588" s="63"/>
      <c r="I588" s="63"/>
      <c r="J588" s="63"/>
      <c r="K588" s="63"/>
      <c r="L588" s="63"/>
      <c r="M588" s="63"/>
      <c r="N588" s="63"/>
      <c r="O588" s="63"/>
      <c r="P588" s="63"/>
      <c r="Q588" s="63"/>
      <c r="R588" s="63"/>
      <c r="S588" s="63"/>
      <c r="T588" s="63"/>
      <c r="U588" s="63"/>
      <c r="V588" s="63"/>
      <c r="W588" s="63"/>
      <c r="X588" s="63"/>
      <c r="Y588" s="63"/>
      <c r="Z588" s="63"/>
      <c r="AA588" s="63"/>
      <c r="AB588" s="63"/>
      <c r="AC588" s="63"/>
      <c r="AD588" s="63"/>
      <c r="AE588" s="63"/>
      <c r="AF588" s="63"/>
      <c r="AG588" s="63"/>
      <c r="AH588" s="63"/>
      <c r="AI588" s="63"/>
    </row>
    <row r="589" spans="4:35" s="66" customFormat="1">
      <c r="D589" s="75"/>
      <c r="F589" s="63"/>
      <c r="G589" s="63"/>
      <c r="H589" s="63"/>
      <c r="I589" s="63"/>
      <c r="J589" s="63"/>
      <c r="K589" s="63"/>
      <c r="L589" s="63"/>
      <c r="M589" s="63"/>
      <c r="N589" s="63"/>
      <c r="O589" s="63"/>
      <c r="P589" s="63"/>
      <c r="Q589" s="63"/>
      <c r="R589" s="63"/>
      <c r="S589" s="63"/>
      <c r="T589" s="63"/>
      <c r="U589" s="63"/>
      <c r="V589" s="63"/>
      <c r="W589" s="63"/>
      <c r="X589" s="63"/>
      <c r="Y589" s="63"/>
      <c r="Z589" s="63"/>
      <c r="AA589" s="63"/>
      <c r="AB589" s="63"/>
      <c r="AC589" s="63"/>
      <c r="AD589" s="63"/>
      <c r="AE589" s="63"/>
      <c r="AF589" s="63"/>
      <c r="AG589" s="63"/>
      <c r="AH589" s="63"/>
      <c r="AI589" s="63"/>
    </row>
    <row r="590" spans="4:35" s="66" customFormat="1">
      <c r="D590" s="75"/>
      <c r="F590" s="63"/>
      <c r="G590" s="63"/>
      <c r="H590" s="63"/>
      <c r="I590" s="63"/>
      <c r="J590" s="63"/>
      <c r="K590" s="63"/>
      <c r="L590" s="63"/>
      <c r="M590" s="63"/>
      <c r="N590" s="63"/>
      <c r="O590" s="63"/>
      <c r="P590" s="63"/>
      <c r="Q590" s="63"/>
      <c r="R590" s="63"/>
      <c r="S590" s="63"/>
      <c r="T590" s="63"/>
      <c r="U590" s="63"/>
      <c r="V590" s="63"/>
      <c r="W590" s="63"/>
      <c r="X590" s="63"/>
      <c r="Y590" s="63"/>
      <c r="Z590" s="63"/>
      <c r="AA590" s="63"/>
      <c r="AB590" s="63"/>
      <c r="AC590" s="63"/>
      <c r="AD590" s="63"/>
      <c r="AE590" s="63"/>
      <c r="AF590" s="63"/>
      <c r="AG590" s="63"/>
      <c r="AH590" s="63"/>
      <c r="AI590" s="63"/>
    </row>
    <row r="591" spans="4:35" s="66" customFormat="1">
      <c r="D591" s="75"/>
      <c r="F591" s="63"/>
      <c r="G591" s="63"/>
      <c r="H591" s="63"/>
      <c r="I591" s="63"/>
      <c r="J591" s="63"/>
      <c r="K591" s="63"/>
      <c r="L591" s="63"/>
      <c r="M591" s="63"/>
      <c r="N591" s="63"/>
      <c r="O591" s="63"/>
      <c r="P591" s="63"/>
      <c r="Q591" s="63"/>
      <c r="R591" s="63"/>
      <c r="S591" s="63"/>
      <c r="T591" s="63"/>
      <c r="U591" s="63"/>
      <c r="V591" s="63"/>
      <c r="W591" s="63"/>
      <c r="X591" s="63"/>
      <c r="Y591" s="63"/>
      <c r="Z591" s="63"/>
      <c r="AA591" s="63"/>
      <c r="AB591" s="63"/>
      <c r="AC591" s="63"/>
      <c r="AD591" s="63"/>
      <c r="AE591" s="63"/>
      <c r="AF591" s="63"/>
      <c r="AG591" s="63"/>
      <c r="AH591" s="63"/>
      <c r="AI591" s="63"/>
    </row>
    <row r="592" spans="4:35" s="66" customFormat="1">
      <c r="D592" s="75"/>
      <c r="F592" s="63"/>
      <c r="G592" s="63"/>
      <c r="H592" s="63"/>
      <c r="I592" s="63"/>
      <c r="J592" s="63"/>
      <c r="K592" s="63"/>
      <c r="L592" s="63"/>
      <c r="M592" s="63"/>
      <c r="N592" s="63"/>
      <c r="O592" s="63"/>
      <c r="P592" s="63"/>
      <c r="Q592" s="63"/>
      <c r="R592" s="63"/>
      <c r="S592" s="63"/>
      <c r="T592" s="63"/>
      <c r="U592" s="63"/>
      <c r="V592" s="63"/>
      <c r="W592" s="63"/>
      <c r="X592" s="63"/>
      <c r="Y592" s="63"/>
      <c r="Z592" s="63"/>
      <c r="AA592" s="63"/>
      <c r="AB592" s="63"/>
      <c r="AC592" s="63"/>
      <c r="AD592" s="63"/>
      <c r="AE592" s="63"/>
      <c r="AF592" s="63"/>
      <c r="AG592" s="63"/>
      <c r="AH592" s="63"/>
      <c r="AI592" s="63"/>
    </row>
    <row r="593" spans="4:35" s="66" customFormat="1">
      <c r="D593" s="75"/>
      <c r="F593" s="63"/>
      <c r="G593" s="63"/>
      <c r="H593" s="63"/>
      <c r="I593" s="63"/>
      <c r="J593" s="63"/>
      <c r="K593" s="63"/>
      <c r="L593" s="63"/>
      <c r="M593" s="63"/>
      <c r="N593" s="63"/>
      <c r="O593" s="63"/>
      <c r="P593" s="63"/>
      <c r="Q593" s="63"/>
      <c r="R593" s="63"/>
      <c r="S593" s="63"/>
      <c r="T593" s="63"/>
      <c r="U593" s="63"/>
      <c r="V593" s="63"/>
      <c r="W593" s="63"/>
      <c r="X593" s="63"/>
      <c r="Y593" s="63"/>
      <c r="Z593" s="63"/>
      <c r="AA593" s="63"/>
      <c r="AB593" s="63"/>
      <c r="AC593" s="63"/>
      <c r="AD593" s="63"/>
      <c r="AE593" s="63"/>
      <c r="AF593" s="63"/>
      <c r="AG593" s="63"/>
      <c r="AH593" s="63"/>
      <c r="AI593" s="63"/>
    </row>
    <row r="594" spans="4:35" s="66" customFormat="1">
      <c r="D594" s="75"/>
      <c r="F594" s="63"/>
      <c r="G594" s="63"/>
      <c r="H594" s="63"/>
      <c r="I594" s="63"/>
      <c r="J594" s="63"/>
      <c r="K594" s="63"/>
      <c r="L594" s="63"/>
      <c r="M594" s="63"/>
      <c r="N594" s="63"/>
      <c r="O594" s="63"/>
      <c r="P594" s="63"/>
      <c r="Q594" s="63"/>
      <c r="R594" s="63"/>
      <c r="S594" s="63"/>
      <c r="T594" s="63"/>
      <c r="U594" s="63"/>
      <c r="V594" s="63"/>
      <c r="W594" s="63"/>
      <c r="X594" s="63"/>
      <c r="Y594" s="63"/>
      <c r="Z594" s="63"/>
      <c r="AA594" s="63"/>
      <c r="AB594" s="63"/>
      <c r="AC594" s="63"/>
      <c r="AD594" s="63"/>
      <c r="AE594" s="63"/>
      <c r="AF594" s="63"/>
      <c r="AG594" s="63"/>
      <c r="AH594" s="63"/>
      <c r="AI594" s="63"/>
    </row>
    <row r="595" spans="4:35" s="66" customFormat="1">
      <c r="D595" s="75"/>
      <c r="F595" s="63"/>
      <c r="G595" s="63"/>
      <c r="H595" s="63"/>
      <c r="I595" s="63"/>
      <c r="J595" s="63"/>
      <c r="K595" s="63"/>
      <c r="L595" s="63"/>
      <c r="M595" s="63"/>
      <c r="N595" s="63"/>
      <c r="O595" s="63"/>
      <c r="P595" s="63"/>
      <c r="Q595" s="63"/>
      <c r="R595" s="63"/>
      <c r="S595" s="63"/>
      <c r="T595" s="63"/>
      <c r="U595" s="63"/>
      <c r="V595" s="63"/>
      <c r="W595" s="63"/>
      <c r="X595" s="63"/>
      <c r="Y595" s="63"/>
      <c r="Z595" s="63"/>
      <c r="AA595" s="63"/>
      <c r="AB595" s="63"/>
      <c r="AC595" s="63"/>
      <c r="AD595" s="63"/>
      <c r="AE595" s="63"/>
      <c r="AF595" s="63"/>
      <c r="AG595" s="63"/>
      <c r="AH595" s="63"/>
      <c r="AI595" s="63"/>
    </row>
    <row r="596" spans="4:35" s="66" customFormat="1">
      <c r="D596" s="75"/>
      <c r="F596" s="63"/>
      <c r="G596" s="63"/>
      <c r="H596" s="63"/>
      <c r="I596" s="63"/>
      <c r="J596" s="63"/>
      <c r="K596" s="63"/>
      <c r="L596" s="63"/>
      <c r="M596" s="63"/>
      <c r="N596" s="63"/>
      <c r="O596" s="63"/>
      <c r="P596" s="63"/>
      <c r="Q596" s="63"/>
      <c r="R596" s="63"/>
      <c r="S596" s="63"/>
      <c r="T596" s="63"/>
      <c r="U596" s="63"/>
      <c r="V596" s="63"/>
      <c r="W596" s="63"/>
      <c r="X596" s="63"/>
      <c r="Y596" s="63"/>
      <c r="Z596" s="63"/>
      <c r="AA596" s="63"/>
      <c r="AB596" s="63"/>
      <c r="AC596" s="63"/>
      <c r="AD596" s="63"/>
      <c r="AE596" s="63"/>
      <c r="AF596" s="63"/>
      <c r="AG596" s="63"/>
      <c r="AH596" s="63"/>
      <c r="AI596" s="63"/>
    </row>
    <row r="597" spans="4:35" s="66" customFormat="1">
      <c r="D597" s="75"/>
      <c r="F597" s="63"/>
      <c r="G597" s="63"/>
      <c r="H597" s="63"/>
      <c r="I597" s="63"/>
      <c r="J597" s="63"/>
      <c r="K597" s="63"/>
      <c r="L597" s="63"/>
      <c r="M597" s="63"/>
      <c r="N597" s="63"/>
      <c r="O597" s="63"/>
      <c r="P597" s="63"/>
      <c r="Q597" s="63"/>
      <c r="R597" s="63"/>
      <c r="S597" s="63"/>
      <c r="T597" s="63"/>
      <c r="U597" s="63"/>
      <c r="V597" s="63"/>
      <c r="W597" s="63"/>
      <c r="X597" s="63"/>
      <c r="Y597" s="63"/>
      <c r="Z597" s="63"/>
      <c r="AA597" s="63"/>
      <c r="AB597" s="63"/>
      <c r="AC597" s="63"/>
      <c r="AD597" s="63"/>
      <c r="AE597" s="63"/>
      <c r="AF597" s="63"/>
      <c r="AG597" s="63"/>
      <c r="AH597" s="63"/>
      <c r="AI597" s="63"/>
    </row>
    <row r="598" spans="4:35" s="66" customFormat="1">
      <c r="D598" s="75"/>
      <c r="F598" s="63"/>
      <c r="G598" s="63"/>
      <c r="H598" s="63"/>
      <c r="I598" s="63"/>
      <c r="J598" s="63"/>
      <c r="K598" s="63"/>
      <c r="L598" s="63"/>
      <c r="M598" s="63"/>
      <c r="N598" s="63"/>
      <c r="O598" s="63"/>
      <c r="P598" s="63"/>
      <c r="Q598" s="63"/>
      <c r="R598" s="63"/>
      <c r="S598" s="63"/>
      <c r="T598" s="63"/>
      <c r="U598" s="63"/>
      <c r="V598" s="63"/>
      <c r="W598" s="63"/>
      <c r="X598" s="63"/>
      <c r="Y598" s="63"/>
      <c r="Z598" s="63"/>
      <c r="AA598" s="63"/>
      <c r="AB598" s="63"/>
      <c r="AC598" s="63"/>
      <c r="AD598" s="63"/>
      <c r="AE598" s="63"/>
      <c r="AF598" s="63"/>
      <c r="AG598" s="63"/>
      <c r="AH598" s="63"/>
      <c r="AI598" s="63"/>
    </row>
    <row r="599" spans="4:35" s="66" customFormat="1">
      <c r="D599" s="75"/>
      <c r="F599" s="63"/>
      <c r="G599" s="63"/>
      <c r="H599" s="63"/>
      <c r="I599" s="63"/>
      <c r="J599" s="63"/>
      <c r="K599" s="63"/>
      <c r="L599" s="63"/>
      <c r="M599" s="63"/>
      <c r="N599" s="63"/>
      <c r="O599" s="63"/>
      <c r="P599" s="63"/>
      <c r="Q599" s="63"/>
      <c r="R599" s="63"/>
      <c r="S599" s="63"/>
      <c r="T599" s="63"/>
      <c r="U599" s="63"/>
      <c r="V599" s="63"/>
      <c r="W599" s="63"/>
      <c r="X599" s="63"/>
      <c r="Y599" s="63"/>
      <c r="Z599" s="63"/>
      <c r="AA599" s="63"/>
      <c r="AB599" s="63"/>
      <c r="AC599" s="63"/>
      <c r="AD599" s="63"/>
      <c r="AE599" s="63"/>
      <c r="AF599" s="63"/>
      <c r="AG599" s="63"/>
      <c r="AH599" s="63"/>
      <c r="AI599" s="63"/>
    </row>
    <row r="600" spans="4:35" s="66" customFormat="1">
      <c r="D600" s="75"/>
      <c r="F600" s="63"/>
      <c r="G600" s="63"/>
      <c r="H600" s="63"/>
      <c r="I600" s="63"/>
      <c r="J600" s="63"/>
      <c r="K600" s="63"/>
      <c r="L600" s="63"/>
      <c r="M600" s="63"/>
      <c r="N600" s="63"/>
      <c r="O600" s="63"/>
      <c r="P600" s="63"/>
      <c r="Q600" s="63"/>
      <c r="R600" s="63"/>
      <c r="S600" s="63"/>
      <c r="T600" s="63"/>
      <c r="U600" s="63"/>
      <c r="V600" s="63"/>
      <c r="W600" s="63"/>
      <c r="X600" s="63"/>
      <c r="Y600" s="63"/>
      <c r="Z600" s="63"/>
      <c r="AA600" s="63"/>
      <c r="AB600" s="63"/>
      <c r="AC600" s="63"/>
      <c r="AD600" s="63"/>
      <c r="AE600" s="63"/>
      <c r="AF600" s="63"/>
      <c r="AG600" s="63"/>
      <c r="AH600" s="63"/>
      <c r="AI600" s="63"/>
    </row>
    <row r="601" spans="4:35" s="66" customFormat="1">
      <c r="D601" s="75"/>
      <c r="F601" s="63"/>
      <c r="G601" s="63"/>
      <c r="H601" s="63"/>
      <c r="I601" s="63"/>
      <c r="J601" s="63"/>
      <c r="K601" s="63"/>
      <c r="L601" s="63"/>
      <c r="M601" s="63"/>
      <c r="N601" s="63"/>
      <c r="O601" s="63"/>
      <c r="P601" s="63"/>
      <c r="Q601" s="63"/>
      <c r="R601" s="63"/>
      <c r="S601" s="63"/>
      <c r="T601" s="63"/>
      <c r="U601" s="63"/>
      <c r="V601" s="63"/>
      <c r="W601" s="63"/>
      <c r="X601" s="63"/>
      <c r="Y601" s="63"/>
      <c r="Z601" s="63"/>
      <c r="AA601" s="63"/>
      <c r="AB601" s="63"/>
      <c r="AC601" s="63"/>
      <c r="AD601" s="63"/>
      <c r="AE601" s="63"/>
      <c r="AF601" s="63"/>
      <c r="AG601" s="63"/>
      <c r="AH601" s="63"/>
      <c r="AI601" s="63"/>
    </row>
    <row r="602" spans="4:35" s="66" customFormat="1">
      <c r="D602" s="75"/>
      <c r="F602" s="63"/>
      <c r="G602" s="63"/>
      <c r="H602" s="63"/>
      <c r="I602" s="63"/>
      <c r="J602" s="63"/>
      <c r="K602" s="63"/>
      <c r="L602" s="63"/>
      <c r="M602" s="63"/>
      <c r="N602" s="63"/>
      <c r="O602" s="63"/>
      <c r="P602" s="63"/>
      <c r="Q602" s="63"/>
      <c r="R602" s="63"/>
      <c r="S602" s="63"/>
      <c r="T602" s="63"/>
      <c r="U602" s="63"/>
      <c r="V602" s="63"/>
      <c r="W602" s="63"/>
      <c r="X602" s="63"/>
      <c r="Y602" s="63"/>
      <c r="Z602" s="63"/>
      <c r="AA602" s="63"/>
      <c r="AB602" s="63"/>
      <c r="AC602" s="63"/>
      <c r="AD602" s="63"/>
      <c r="AE602" s="63"/>
      <c r="AF602" s="63"/>
      <c r="AG602" s="63"/>
      <c r="AH602" s="63"/>
      <c r="AI602" s="63"/>
    </row>
    <row r="603" spans="4:35" s="66" customFormat="1">
      <c r="D603" s="75"/>
      <c r="F603" s="63"/>
      <c r="G603" s="63"/>
      <c r="H603" s="63"/>
      <c r="I603" s="63"/>
      <c r="J603" s="63"/>
      <c r="K603" s="63"/>
      <c r="L603" s="63"/>
      <c r="M603" s="63"/>
      <c r="N603" s="63"/>
      <c r="O603" s="63"/>
      <c r="P603" s="63"/>
      <c r="Q603" s="63"/>
      <c r="R603" s="63"/>
      <c r="S603" s="63"/>
      <c r="T603" s="63"/>
      <c r="U603" s="63"/>
      <c r="V603" s="63"/>
      <c r="W603" s="63"/>
      <c r="X603" s="63"/>
      <c r="Y603" s="63"/>
      <c r="Z603" s="63"/>
      <c r="AA603" s="63"/>
      <c r="AB603" s="63"/>
      <c r="AC603" s="63"/>
      <c r="AD603" s="63"/>
      <c r="AE603" s="63"/>
      <c r="AF603" s="63"/>
      <c r="AG603" s="63"/>
      <c r="AH603" s="63"/>
      <c r="AI603" s="63"/>
    </row>
    <row r="604" spans="4:35" s="66" customFormat="1">
      <c r="D604" s="75"/>
      <c r="F604" s="63"/>
      <c r="G604" s="63"/>
      <c r="H604" s="63"/>
      <c r="I604" s="63"/>
      <c r="J604" s="63"/>
      <c r="K604" s="63"/>
      <c r="L604" s="63"/>
      <c r="M604" s="63"/>
      <c r="N604" s="63"/>
      <c r="O604" s="63"/>
      <c r="P604" s="63"/>
      <c r="Q604" s="63"/>
      <c r="R604" s="63"/>
      <c r="S604" s="63"/>
      <c r="T604" s="63"/>
      <c r="U604" s="63"/>
      <c r="V604" s="63"/>
      <c r="W604" s="63"/>
      <c r="X604" s="63"/>
      <c r="Y604" s="63"/>
      <c r="Z604" s="63"/>
      <c r="AA604" s="63"/>
      <c r="AB604" s="63"/>
      <c r="AC604" s="63"/>
      <c r="AD604" s="63"/>
      <c r="AE604" s="63"/>
      <c r="AF604" s="63"/>
      <c r="AG604" s="63"/>
      <c r="AH604" s="63"/>
      <c r="AI604" s="63"/>
    </row>
    <row r="605" spans="4:35" s="66" customFormat="1">
      <c r="D605" s="75"/>
      <c r="F605" s="63"/>
      <c r="G605" s="63"/>
      <c r="H605" s="63"/>
      <c r="I605" s="63"/>
      <c r="J605" s="63"/>
      <c r="K605" s="63"/>
      <c r="L605" s="63"/>
      <c r="M605" s="63"/>
      <c r="N605" s="63"/>
      <c r="O605" s="63"/>
      <c r="P605" s="63"/>
      <c r="Q605" s="63"/>
      <c r="R605" s="63"/>
      <c r="S605" s="63"/>
      <c r="T605" s="63"/>
      <c r="U605" s="63"/>
      <c r="V605" s="63"/>
      <c r="W605" s="63"/>
      <c r="X605" s="63"/>
      <c r="Y605" s="63"/>
      <c r="Z605" s="63"/>
      <c r="AA605" s="63"/>
      <c r="AB605" s="63"/>
      <c r="AC605" s="63"/>
      <c r="AD605" s="63"/>
      <c r="AE605" s="63"/>
      <c r="AF605" s="63"/>
      <c r="AG605" s="63"/>
      <c r="AH605" s="63"/>
      <c r="AI605" s="63"/>
    </row>
    <row r="606" spans="4:35" s="66" customFormat="1">
      <c r="D606" s="75"/>
      <c r="F606" s="63"/>
      <c r="G606" s="63"/>
      <c r="H606" s="63"/>
      <c r="I606" s="63"/>
      <c r="J606" s="63"/>
      <c r="K606" s="63"/>
      <c r="L606" s="63"/>
      <c r="M606" s="63"/>
      <c r="N606" s="63"/>
      <c r="O606" s="63"/>
      <c r="P606" s="63"/>
      <c r="Q606" s="63"/>
      <c r="R606" s="63"/>
      <c r="S606" s="63"/>
      <c r="T606" s="63"/>
      <c r="U606" s="63"/>
      <c r="V606" s="63"/>
      <c r="W606" s="63"/>
      <c r="X606" s="63"/>
      <c r="Y606" s="63"/>
      <c r="Z606" s="63"/>
      <c r="AA606" s="63"/>
      <c r="AB606" s="63"/>
      <c r="AC606" s="63"/>
      <c r="AD606" s="63"/>
      <c r="AE606" s="63"/>
      <c r="AF606" s="63"/>
      <c r="AG606" s="63"/>
      <c r="AH606" s="63"/>
      <c r="AI606" s="63"/>
    </row>
    <row r="607" spans="4:35" s="66" customFormat="1">
      <c r="D607" s="75"/>
      <c r="F607" s="63"/>
      <c r="G607" s="63"/>
      <c r="H607" s="63"/>
      <c r="I607" s="63"/>
      <c r="J607" s="63"/>
      <c r="K607" s="63"/>
      <c r="L607" s="63"/>
      <c r="M607" s="63"/>
      <c r="N607" s="63"/>
      <c r="O607" s="63"/>
      <c r="P607" s="63"/>
      <c r="Q607" s="63"/>
      <c r="R607" s="63"/>
      <c r="S607" s="63"/>
      <c r="T607" s="63"/>
      <c r="U607" s="63"/>
      <c r="V607" s="63"/>
      <c r="W607" s="63"/>
      <c r="X607" s="63"/>
      <c r="Y607" s="63"/>
      <c r="Z607" s="63"/>
      <c r="AA607" s="63"/>
      <c r="AB607" s="63"/>
      <c r="AC607" s="63"/>
      <c r="AD607" s="63"/>
      <c r="AE607" s="63"/>
      <c r="AF607" s="63"/>
      <c r="AG607" s="63"/>
      <c r="AH607" s="63"/>
      <c r="AI607" s="63"/>
    </row>
    <row r="608" spans="4:35" s="66" customFormat="1">
      <c r="D608" s="75"/>
      <c r="F608" s="63"/>
      <c r="G608" s="63"/>
      <c r="H608" s="63"/>
      <c r="I608" s="63"/>
      <c r="J608" s="63"/>
      <c r="K608" s="63"/>
      <c r="L608" s="63"/>
      <c r="M608" s="63"/>
      <c r="N608" s="63"/>
      <c r="O608" s="63"/>
      <c r="P608" s="63"/>
      <c r="Q608" s="63"/>
      <c r="R608" s="63"/>
      <c r="S608" s="63"/>
      <c r="T608" s="63"/>
      <c r="U608" s="63"/>
      <c r="V608" s="63"/>
      <c r="W608" s="63"/>
      <c r="X608" s="63"/>
      <c r="Y608" s="63"/>
      <c r="Z608" s="63"/>
      <c r="AA608" s="63"/>
      <c r="AB608" s="63"/>
      <c r="AC608" s="63"/>
      <c r="AD608" s="63"/>
      <c r="AE608" s="63"/>
      <c r="AF608" s="63"/>
      <c r="AG608" s="63"/>
      <c r="AH608" s="63"/>
      <c r="AI608" s="63"/>
    </row>
    <row r="609" spans="4:35" s="66" customFormat="1">
      <c r="D609" s="75"/>
      <c r="F609" s="63"/>
      <c r="G609" s="63"/>
      <c r="H609" s="63"/>
      <c r="I609" s="63"/>
      <c r="J609" s="63"/>
      <c r="K609" s="63"/>
      <c r="L609" s="63"/>
      <c r="M609" s="63"/>
      <c r="N609" s="63"/>
      <c r="O609" s="63"/>
      <c r="P609" s="63"/>
      <c r="Q609" s="63"/>
      <c r="R609" s="63"/>
      <c r="S609" s="63"/>
      <c r="T609" s="63"/>
      <c r="U609" s="63"/>
      <c r="V609" s="63"/>
      <c r="W609" s="63"/>
      <c r="X609" s="63"/>
      <c r="Y609" s="63"/>
      <c r="Z609" s="63"/>
      <c r="AA609" s="63"/>
      <c r="AB609" s="63"/>
      <c r="AC609" s="63"/>
      <c r="AD609" s="63"/>
      <c r="AE609" s="63"/>
      <c r="AF609" s="63"/>
      <c r="AG609" s="63"/>
      <c r="AH609" s="63"/>
      <c r="AI609" s="63"/>
    </row>
    <row r="610" spans="4:35" s="66" customFormat="1">
      <c r="D610" s="75"/>
      <c r="F610" s="63"/>
      <c r="G610" s="63"/>
      <c r="H610" s="63"/>
      <c r="I610" s="63"/>
      <c r="J610" s="63"/>
      <c r="K610" s="63"/>
      <c r="L610" s="63"/>
      <c r="M610" s="63"/>
      <c r="N610" s="63"/>
      <c r="O610" s="63"/>
      <c r="P610" s="63"/>
      <c r="Q610" s="63"/>
      <c r="R610" s="63"/>
      <c r="S610" s="63"/>
      <c r="T610" s="63"/>
      <c r="U610" s="63"/>
      <c r="V610" s="63"/>
      <c r="W610" s="63"/>
      <c r="X610" s="63"/>
      <c r="Y610" s="63"/>
      <c r="Z610" s="63"/>
      <c r="AA610" s="63"/>
      <c r="AB610" s="63"/>
      <c r="AC610" s="63"/>
      <c r="AD610" s="63"/>
      <c r="AE610" s="63"/>
      <c r="AF610" s="63"/>
      <c r="AG610" s="63"/>
      <c r="AH610" s="63"/>
      <c r="AI610" s="63"/>
    </row>
    <row r="611" spans="4:35" s="66" customFormat="1">
      <c r="D611" s="75"/>
      <c r="F611" s="63"/>
      <c r="G611" s="63"/>
      <c r="H611" s="63"/>
      <c r="I611" s="63"/>
      <c r="J611" s="63"/>
      <c r="K611" s="63"/>
      <c r="L611" s="63"/>
      <c r="M611" s="63"/>
      <c r="N611" s="63"/>
      <c r="O611" s="63"/>
      <c r="P611" s="63"/>
      <c r="Q611" s="63"/>
      <c r="R611" s="63"/>
      <c r="S611" s="63"/>
      <c r="T611" s="63"/>
      <c r="U611" s="63"/>
      <c r="V611" s="63"/>
      <c r="W611" s="63"/>
      <c r="X611" s="63"/>
      <c r="Y611" s="63"/>
      <c r="Z611" s="63"/>
      <c r="AA611" s="63"/>
      <c r="AB611" s="63"/>
      <c r="AC611" s="63"/>
      <c r="AD611" s="63"/>
      <c r="AE611" s="63"/>
      <c r="AF611" s="63"/>
      <c r="AG611" s="63"/>
      <c r="AH611" s="63"/>
      <c r="AI611" s="63"/>
    </row>
    <row r="612" spans="4:35" s="66" customFormat="1">
      <c r="D612" s="75"/>
      <c r="F612" s="63"/>
      <c r="G612" s="63"/>
      <c r="H612" s="63"/>
      <c r="I612" s="63"/>
      <c r="J612" s="63"/>
      <c r="K612" s="63"/>
      <c r="L612" s="63"/>
      <c r="M612" s="63"/>
      <c r="N612" s="63"/>
      <c r="O612" s="63"/>
      <c r="P612" s="63"/>
      <c r="Q612" s="63"/>
      <c r="R612" s="63"/>
      <c r="S612" s="63"/>
      <c r="T612" s="63"/>
      <c r="U612" s="63"/>
      <c r="V612" s="63"/>
      <c r="W612" s="63"/>
      <c r="X612" s="63"/>
      <c r="Y612" s="63"/>
      <c r="Z612" s="63"/>
      <c r="AA612" s="63"/>
      <c r="AB612" s="63"/>
      <c r="AC612" s="63"/>
      <c r="AD612" s="63"/>
      <c r="AE612" s="63"/>
      <c r="AF612" s="63"/>
      <c r="AG612" s="63"/>
      <c r="AH612" s="63"/>
      <c r="AI612" s="63"/>
    </row>
    <row r="613" spans="4:35" s="66" customFormat="1">
      <c r="D613" s="75"/>
      <c r="F613" s="63"/>
      <c r="G613" s="63"/>
      <c r="H613" s="63"/>
      <c r="I613" s="63"/>
      <c r="J613" s="63"/>
      <c r="K613" s="63"/>
      <c r="L613" s="63"/>
      <c r="M613" s="63"/>
      <c r="N613" s="63"/>
      <c r="O613" s="63"/>
      <c r="P613" s="63"/>
      <c r="Q613" s="63"/>
      <c r="R613" s="63"/>
      <c r="S613" s="63"/>
      <c r="T613" s="63"/>
      <c r="U613" s="63"/>
      <c r="V613" s="63"/>
      <c r="W613" s="63"/>
      <c r="X613" s="63"/>
      <c r="Y613" s="63"/>
      <c r="Z613" s="63"/>
      <c r="AA613" s="63"/>
      <c r="AB613" s="63"/>
      <c r="AC613" s="63"/>
      <c r="AD613" s="63"/>
      <c r="AE613" s="63"/>
      <c r="AF613" s="63"/>
      <c r="AG613" s="63"/>
      <c r="AH613" s="63"/>
      <c r="AI613" s="63"/>
    </row>
    <row r="614" spans="4:35" s="66" customFormat="1">
      <c r="D614" s="75"/>
      <c r="F614" s="63"/>
      <c r="G614" s="63"/>
      <c r="H614" s="63"/>
      <c r="I614" s="63"/>
      <c r="J614" s="63"/>
      <c r="K614" s="63"/>
      <c r="L614" s="63"/>
      <c r="M614" s="63"/>
      <c r="N614" s="63"/>
      <c r="O614" s="63"/>
      <c r="P614" s="63"/>
      <c r="Q614" s="63"/>
      <c r="R614" s="63"/>
      <c r="S614" s="63"/>
      <c r="T614" s="63"/>
      <c r="U614" s="63"/>
      <c r="V614" s="63"/>
      <c r="W614" s="63"/>
      <c r="X614" s="63"/>
      <c r="Y614" s="63"/>
      <c r="Z614" s="63"/>
      <c r="AA614" s="63"/>
      <c r="AB614" s="63"/>
      <c r="AC614" s="63"/>
      <c r="AD614" s="63"/>
      <c r="AE614" s="63"/>
      <c r="AF614" s="63"/>
      <c r="AG614" s="63"/>
      <c r="AH614" s="63"/>
      <c r="AI614" s="63"/>
    </row>
    <row r="615" spans="4:35" s="66" customFormat="1">
      <c r="D615" s="75"/>
      <c r="F615" s="63"/>
      <c r="G615" s="63"/>
      <c r="H615" s="63"/>
      <c r="I615" s="63"/>
      <c r="J615" s="63"/>
      <c r="K615" s="63"/>
      <c r="L615" s="63"/>
      <c r="M615" s="63"/>
      <c r="N615" s="63"/>
      <c r="O615" s="63"/>
      <c r="P615" s="63"/>
      <c r="Q615" s="63"/>
      <c r="R615" s="63"/>
      <c r="S615" s="63"/>
      <c r="T615" s="63"/>
      <c r="U615" s="63"/>
      <c r="V615" s="63"/>
      <c r="W615" s="63"/>
      <c r="X615" s="63"/>
      <c r="Y615" s="63"/>
      <c r="Z615" s="63"/>
      <c r="AA615" s="63"/>
      <c r="AB615" s="63"/>
      <c r="AC615" s="63"/>
      <c r="AD615" s="63"/>
      <c r="AE615" s="63"/>
      <c r="AF615" s="63"/>
      <c r="AG615" s="63"/>
      <c r="AH615" s="63"/>
      <c r="AI615" s="63"/>
    </row>
    <row r="616" spans="4:35" s="66" customFormat="1">
      <c r="D616" s="75"/>
      <c r="F616" s="63"/>
      <c r="G616" s="63"/>
      <c r="H616" s="63"/>
      <c r="I616" s="63"/>
      <c r="J616" s="63"/>
      <c r="K616" s="63"/>
      <c r="L616" s="63"/>
      <c r="M616" s="63"/>
      <c r="N616" s="63"/>
      <c r="O616" s="63"/>
      <c r="P616" s="63"/>
      <c r="Q616" s="63"/>
      <c r="R616" s="63"/>
      <c r="S616" s="63"/>
      <c r="T616" s="63"/>
      <c r="U616" s="63"/>
      <c r="V616" s="63"/>
      <c r="W616" s="63"/>
      <c r="X616" s="63"/>
      <c r="Y616" s="63"/>
      <c r="Z616" s="63"/>
      <c r="AA616" s="63"/>
      <c r="AB616" s="63"/>
      <c r="AC616" s="63"/>
      <c r="AD616" s="63"/>
      <c r="AE616" s="63"/>
      <c r="AF616" s="63"/>
      <c r="AG616" s="63"/>
      <c r="AH616" s="63"/>
      <c r="AI616" s="63"/>
    </row>
    <row r="617" spans="4:35" s="66" customFormat="1">
      <c r="D617" s="75"/>
      <c r="F617" s="63"/>
      <c r="G617" s="63"/>
      <c r="H617" s="63"/>
      <c r="I617" s="63"/>
      <c r="J617" s="63"/>
      <c r="K617" s="63"/>
      <c r="L617" s="63"/>
      <c r="M617" s="63"/>
      <c r="N617" s="63"/>
      <c r="O617" s="63"/>
      <c r="P617" s="63"/>
      <c r="Q617" s="63"/>
      <c r="R617" s="63"/>
      <c r="S617" s="63"/>
      <c r="T617" s="63"/>
      <c r="U617" s="63"/>
      <c r="V617" s="63"/>
      <c r="W617" s="63"/>
      <c r="X617" s="63"/>
      <c r="Y617" s="63"/>
      <c r="Z617" s="63"/>
      <c r="AA617" s="63"/>
      <c r="AB617" s="63"/>
      <c r="AC617" s="63"/>
      <c r="AD617" s="63"/>
      <c r="AE617" s="63"/>
      <c r="AF617" s="63"/>
      <c r="AG617" s="63"/>
      <c r="AH617" s="63"/>
      <c r="AI617" s="63"/>
    </row>
    <row r="618" spans="4:35" s="66" customFormat="1">
      <c r="D618" s="75"/>
      <c r="F618" s="63"/>
      <c r="G618" s="63"/>
      <c r="H618" s="63"/>
      <c r="I618" s="63"/>
      <c r="J618" s="63"/>
      <c r="K618" s="63"/>
      <c r="L618" s="63"/>
      <c r="M618" s="63"/>
      <c r="N618" s="63"/>
      <c r="O618" s="63"/>
      <c r="P618" s="63"/>
      <c r="Q618" s="63"/>
      <c r="R618" s="63"/>
      <c r="S618" s="63"/>
      <c r="T618" s="63"/>
      <c r="U618" s="63"/>
      <c r="V618" s="63"/>
      <c r="W618" s="63"/>
      <c r="X618" s="63"/>
      <c r="Y618" s="63"/>
      <c r="Z618" s="63"/>
      <c r="AA618" s="63"/>
      <c r="AB618" s="63"/>
      <c r="AC618" s="63"/>
      <c r="AD618" s="63"/>
      <c r="AE618" s="63"/>
      <c r="AF618" s="63"/>
      <c r="AG618" s="63"/>
      <c r="AH618" s="63"/>
      <c r="AI618" s="63"/>
    </row>
    <row r="619" spans="4:35" s="66" customFormat="1">
      <c r="D619" s="75"/>
      <c r="F619" s="63"/>
      <c r="G619" s="63"/>
      <c r="H619" s="63"/>
      <c r="I619" s="63"/>
      <c r="J619" s="63"/>
      <c r="K619" s="63"/>
      <c r="L619" s="63"/>
      <c r="M619" s="63"/>
      <c r="N619" s="63"/>
      <c r="O619" s="63"/>
      <c r="P619" s="63"/>
      <c r="Q619" s="63"/>
      <c r="R619" s="63"/>
      <c r="S619" s="63"/>
      <c r="T619" s="63"/>
      <c r="U619" s="63"/>
      <c r="V619" s="63"/>
      <c r="W619" s="63"/>
      <c r="X619" s="63"/>
      <c r="Y619" s="63"/>
      <c r="Z619" s="63"/>
      <c r="AA619" s="63"/>
      <c r="AB619" s="63"/>
      <c r="AC619" s="63"/>
      <c r="AD619" s="63"/>
      <c r="AE619" s="63"/>
      <c r="AF619" s="63"/>
      <c r="AG619" s="63"/>
      <c r="AH619" s="63"/>
      <c r="AI619" s="63"/>
    </row>
    <row r="620" spans="4:35" s="66" customFormat="1">
      <c r="D620" s="75"/>
      <c r="F620" s="63"/>
      <c r="G620" s="63"/>
      <c r="H620" s="63"/>
      <c r="I620" s="63"/>
      <c r="J620" s="63"/>
      <c r="K620" s="63"/>
      <c r="L620" s="63"/>
      <c r="M620" s="63"/>
      <c r="N620" s="63"/>
      <c r="O620" s="63"/>
      <c r="P620" s="63"/>
      <c r="Q620" s="63"/>
      <c r="R620" s="63"/>
      <c r="S620" s="63"/>
      <c r="T620" s="63"/>
      <c r="U620" s="63"/>
      <c r="V620" s="63"/>
      <c r="W620" s="63"/>
      <c r="X620" s="63"/>
      <c r="Y620" s="63"/>
      <c r="Z620" s="63"/>
      <c r="AA620" s="63"/>
      <c r="AB620" s="63"/>
      <c r="AC620" s="63"/>
      <c r="AD620" s="63"/>
      <c r="AE620" s="63"/>
      <c r="AF620" s="63"/>
      <c r="AG620" s="63"/>
      <c r="AH620" s="63"/>
      <c r="AI620" s="63"/>
    </row>
    <row r="621" spans="4:35" s="66" customFormat="1">
      <c r="D621" s="75"/>
      <c r="F621" s="63"/>
      <c r="G621" s="63"/>
      <c r="H621" s="63"/>
      <c r="I621" s="63"/>
      <c r="J621" s="63"/>
      <c r="K621" s="63"/>
      <c r="L621" s="63"/>
      <c r="M621" s="63"/>
      <c r="N621" s="63"/>
      <c r="O621" s="63"/>
      <c r="P621" s="63"/>
      <c r="Q621" s="63"/>
      <c r="R621" s="63"/>
      <c r="S621" s="63"/>
      <c r="T621" s="63"/>
      <c r="U621" s="63"/>
      <c r="V621" s="63"/>
      <c r="W621" s="63"/>
      <c r="X621" s="63"/>
      <c r="Y621" s="63"/>
      <c r="Z621" s="63"/>
      <c r="AA621" s="63"/>
      <c r="AB621" s="63"/>
      <c r="AC621" s="63"/>
      <c r="AD621" s="63"/>
      <c r="AE621" s="63"/>
      <c r="AF621" s="63"/>
      <c r="AG621" s="63"/>
      <c r="AH621" s="63"/>
      <c r="AI621" s="63"/>
    </row>
    <row r="622" spans="4:35" s="66" customFormat="1">
      <c r="D622" s="75"/>
      <c r="F622" s="63"/>
      <c r="G622" s="63"/>
      <c r="H622" s="63"/>
      <c r="I622" s="63"/>
      <c r="J622" s="63"/>
      <c r="K622" s="63"/>
      <c r="L622" s="63"/>
      <c r="M622" s="63"/>
      <c r="N622" s="63"/>
      <c r="O622" s="63"/>
      <c r="P622" s="63"/>
      <c r="Q622" s="63"/>
      <c r="R622" s="63"/>
      <c r="S622" s="63"/>
      <c r="T622" s="63"/>
      <c r="U622" s="63"/>
      <c r="V622" s="63"/>
      <c r="W622" s="63"/>
      <c r="X622" s="63"/>
      <c r="Y622" s="63"/>
      <c r="Z622" s="63"/>
      <c r="AA622" s="63"/>
      <c r="AB622" s="63"/>
      <c r="AC622" s="63"/>
      <c r="AD622" s="63"/>
      <c r="AE622" s="63"/>
      <c r="AF622" s="63"/>
      <c r="AG622" s="63"/>
      <c r="AH622" s="63"/>
      <c r="AI622" s="63"/>
    </row>
    <row r="623" spans="4:35" s="66" customFormat="1">
      <c r="D623" s="75"/>
      <c r="F623" s="63"/>
      <c r="G623" s="63"/>
      <c r="H623" s="63"/>
      <c r="I623" s="63"/>
      <c r="J623" s="63"/>
      <c r="K623" s="63"/>
      <c r="L623" s="63"/>
      <c r="M623" s="63"/>
      <c r="N623" s="63"/>
      <c r="O623" s="63"/>
      <c r="P623" s="63"/>
      <c r="Q623" s="63"/>
      <c r="R623" s="63"/>
      <c r="S623" s="63"/>
      <c r="T623" s="63"/>
      <c r="U623" s="63"/>
      <c r="V623" s="63"/>
      <c r="W623" s="63"/>
      <c r="X623" s="63"/>
      <c r="Y623" s="63"/>
      <c r="Z623" s="63"/>
      <c r="AA623" s="63"/>
      <c r="AB623" s="63"/>
      <c r="AC623" s="63"/>
      <c r="AD623" s="63"/>
      <c r="AE623" s="63"/>
      <c r="AF623" s="63"/>
      <c r="AG623" s="63"/>
      <c r="AH623" s="63"/>
      <c r="AI623" s="63"/>
    </row>
    <row r="624" spans="4:35" s="66" customFormat="1">
      <c r="D624" s="75"/>
      <c r="F624" s="63"/>
      <c r="G624" s="63"/>
      <c r="H624" s="63"/>
      <c r="I624" s="63"/>
      <c r="J624" s="63"/>
      <c r="K624" s="63"/>
      <c r="L624" s="63"/>
      <c r="M624" s="63"/>
      <c r="N624" s="63"/>
      <c r="O624" s="63"/>
      <c r="P624" s="63"/>
      <c r="Q624" s="63"/>
      <c r="R624" s="63"/>
      <c r="S624" s="63"/>
      <c r="T624" s="63"/>
      <c r="U624" s="63"/>
      <c r="V624" s="63"/>
      <c r="W624" s="63"/>
      <c r="X624" s="63"/>
      <c r="Y624" s="63"/>
      <c r="Z624" s="63"/>
      <c r="AA624" s="63"/>
      <c r="AB624" s="63"/>
      <c r="AC624" s="63"/>
      <c r="AD624" s="63"/>
      <c r="AE624" s="63"/>
      <c r="AF624" s="63"/>
      <c r="AG624" s="63"/>
      <c r="AH624" s="63"/>
      <c r="AI624" s="63"/>
    </row>
    <row r="625" spans="4:35" s="66" customFormat="1">
      <c r="D625" s="75"/>
      <c r="F625" s="63"/>
      <c r="G625" s="63"/>
      <c r="H625" s="63"/>
      <c r="I625" s="63"/>
      <c r="J625" s="63"/>
      <c r="K625" s="63"/>
      <c r="L625" s="63"/>
      <c r="M625" s="63"/>
      <c r="N625" s="63"/>
      <c r="O625" s="63"/>
      <c r="P625" s="63"/>
      <c r="Q625" s="63"/>
      <c r="R625" s="63"/>
      <c r="S625" s="63"/>
      <c r="T625" s="63"/>
      <c r="U625" s="63"/>
      <c r="V625" s="63"/>
      <c r="W625" s="63"/>
      <c r="X625" s="63"/>
      <c r="Y625" s="63"/>
      <c r="Z625" s="63"/>
      <c r="AA625" s="63"/>
      <c r="AB625" s="63"/>
      <c r="AC625" s="63"/>
      <c r="AD625" s="63"/>
      <c r="AE625" s="63"/>
      <c r="AF625" s="63"/>
      <c r="AG625" s="63"/>
      <c r="AH625" s="63"/>
      <c r="AI625" s="63"/>
    </row>
    <row r="626" spans="4:35" s="66" customFormat="1">
      <c r="D626" s="75"/>
      <c r="F626" s="63"/>
      <c r="G626" s="63"/>
      <c r="H626" s="63"/>
      <c r="I626" s="63"/>
      <c r="J626" s="63"/>
      <c r="K626" s="63"/>
      <c r="L626" s="63"/>
      <c r="M626" s="63"/>
      <c r="N626" s="63"/>
      <c r="O626" s="63"/>
      <c r="P626" s="63"/>
      <c r="Q626" s="63"/>
      <c r="R626" s="63"/>
      <c r="S626" s="63"/>
      <c r="T626" s="63"/>
      <c r="U626" s="63"/>
      <c r="V626" s="63"/>
      <c r="W626" s="63"/>
      <c r="X626" s="63"/>
      <c r="Y626" s="63"/>
      <c r="Z626" s="63"/>
      <c r="AA626" s="63"/>
      <c r="AB626" s="63"/>
      <c r="AC626" s="63"/>
      <c r="AD626" s="63"/>
      <c r="AE626" s="63"/>
      <c r="AF626" s="63"/>
      <c r="AG626" s="63"/>
      <c r="AH626" s="63"/>
      <c r="AI626" s="63"/>
    </row>
    <row r="627" spans="4:35" s="66" customFormat="1">
      <c r="D627" s="75"/>
      <c r="F627" s="63"/>
      <c r="G627" s="63"/>
      <c r="H627" s="63"/>
      <c r="I627" s="63"/>
      <c r="J627" s="63"/>
      <c r="K627" s="63"/>
      <c r="L627" s="63"/>
      <c r="M627" s="63"/>
      <c r="N627" s="63"/>
      <c r="O627" s="63"/>
      <c r="P627" s="63"/>
      <c r="Q627" s="63"/>
      <c r="R627" s="63"/>
      <c r="S627" s="63"/>
      <c r="T627" s="63"/>
      <c r="U627" s="63"/>
      <c r="V627" s="63"/>
      <c r="W627" s="63"/>
      <c r="X627" s="63"/>
      <c r="Y627" s="63"/>
      <c r="Z627" s="63"/>
      <c r="AA627" s="63"/>
      <c r="AB627" s="63"/>
      <c r="AC627" s="63"/>
      <c r="AD627" s="63"/>
      <c r="AE627" s="63"/>
      <c r="AF627" s="63"/>
      <c r="AG627" s="63"/>
      <c r="AH627" s="63"/>
      <c r="AI627" s="63"/>
    </row>
    <row r="628" spans="4:35" s="66" customFormat="1">
      <c r="D628" s="75"/>
      <c r="F628" s="63"/>
      <c r="G628" s="63"/>
      <c r="H628" s="63"/>
      <c r="I628" s="63"/>
      <c r="J628" s="63"/>
      <c r="K628" s="63"/>
      <c r="L628" s="63"/>
      <c r="M628" s="63"/>
      <c r="N628" s="63"/>
      <c r="O628" s="63"/>
      <c r="P628" s="63"/>
      <c r="Q628" s="63"/>
      <c r="R628" s="63"/>
      <c r="S628" s="63"/>
      <c r="T628" s="63"/>
      <c r="U628" s="63"/>
      <c r="V628" s="63"/>
      <c r="W628" s="63"/>
      <c r="X628" s="63"/>
      <c r="Y628" s="63"/>
      <c r="Z628" s="63"/>
      <c r="AA628" s="63"/>
      <c r="AB628" s="63"/>
      <c r="AC628" s="63"/>
      <c r="AD628" s="63"/>
      <c r="AE628" s="63"/>
      <c r="AF628" s="63"/>
      <c r="AG628" s="63"/>
      <c r="AH628" s="63"/>
      <c r="AI628" s="63"/>
    </row>
    <row r="629" spans="4:35" s="66" customFormat="1">
      <c r="D629" s="75"/>
      <c r="F629" s="63"/>
      <c r="G629" s="63"/>
      <c r="H629" s="63"/>
      <c r="I629" s="63"/>
      <c r="J629" s="63"/>
      <c r="K629" s="63"/>
      <c r="L629" s="63"/>
      <c r="M629" s="63"/>
      <c r="N629" s="63"/>
      <c r="O629" s="63"/>
      <c r="P629" s="63"/>
      <c r="Q629" s="63"/>
      <c r="R629" s="63"/>
      <c r="S629" s="63"/>
      <c r="T629" s="63"/>
      <c r="U629" s="63"/>
      <c r="V629" s="63"/>
      <c r="W629" s="63"/>
      <c r="X629" s="63"/>
      <c r="Y629" s="63"/>
      <c r="Z629" s="63"/>
      <c r="AA629" s="63"/>
      <c r="AB629" s="63"/>
      <c r="AC629" s="63"/>
      <c r="AD629" s="63"/>
      <c r="AE629" s="63"/>
      <c r="AF629" s="63"/>
      <c r="AG629" s="63"/>
      <c r="AH629" s="63"/>
      <c r="AI629" s="63"/>
    </row>
    <row r="630" spans="4:35" s="66" customFormat="1">
      <c r="D630" s="75"/>
      <c r="F630" s="63"/>
      <c r="G630" s="63"/>
      <c r="H630" s="63"/>
      <c r="I630" s="63"/>
      <c r="J630" s="63"/>
      <c r="K630" s="63"/>
      <c r="L630" s="63"/>
      <c r="M630" s="63"/>
      <c r="N630" s="63"/>
      <c r="O630" s="63"/>
      <c r="P630" s="63"/>
      <c r="Q630" s="63"/>
      <c r="R630" s="63"/>
      <c r="S630" s="63"/>
      <c r="T630" s="63"/>
      <c r="U630" s="63"/>
      <c r="V630" s="63"/>
      <c r="W630" s="63"/>
      <c r="X630" s="63"/>
      <c r="Y630" s="63"/>
      <c r="Z630" s="63"/>
      <c r="AA630" s="63"/>
      <c r="AB630" s="63"/>
      <c r="AC630" s="63"/>
      <c r="AD630" s="63"/>
      <c r="AE630" s="63"/>
      <c r="AF630" s="63"/>
      <c r="AG630" s="63"/>
      <c r="AH630" s="63"/>
      <c r="AI630" s="63"/>
    </row>
    <row r="631" spans="4:35" s="66" customFormat="1">
      <c r="D631" s="75"/>
      <c r="F631" s="63"/>
      <c r="G631" s="63"/>
      <c r="H631" s="63"/>
      <c r="I631" s="63"/>
      <c r="J631" s="63"/>
      <c r="K631" s="63"/>
      <c r="L631" s="63"/>
      <c r="M631" s="63"/>
      <c r="N631" s="63"/>
      <c r="O631" s="63"/>
      <c r="P631" s="63"/>
      <c r="Q631" s="63"/>
      <c r="R631" s="63"/>
      <c r="S631" s="63"/>
      <c r="T631" s="63"/>
      <c r="U631" s="63"/>
      <c r="V631" s="63"/>
      <c r="W631" s="63"/>
      <c r="X631" s="63"/>
      <c r="Y631" s="63"/>
      <c r="Z631" s="63"/>
      <c r="AA631" s="63"/>
      <c r="AB631" s="63"/>
      <c r="AC631" s="63"/>
      <c r="AD631" s="63"/>
      <c r="AE631" s="63"/>
      <c r="AF631" s="63"/>
      <c r="AG631" s="63"/>
      <c r="AH631" s="63"/>
      <c r="AI631" s="63"/>
    </row>
    <row r="632" spans="4:35" s="66" customFormat="1">
      <c r="D632" s="75"/>
      <c r="F632" s="63"/>
      <c r="G632" s="63"/>
      <c r="H632" s="63"/>
      <c r="I632" s="63"/>
      <c r="J632" s="63"/>
      <c r="K632" s="63"/>
      <c r="L632" s="63"/>
      <c r="M632" s="63"/>
      <c r="N632" s="63"/>
      <c r="O632" s="63"/>
      <c r="P632" s="63"/>
      <c r="Q632" s="63"/>
      <c r="R632" s="63"/>
      <c r="S632" s="63"/>
      <c r="T632" s="63"/>
      <c r="U632" s="63"/>
      <c r="V632" s="63"/>
      <c r="W632" s="63"/>
      <c r="X632" s="63"/>
      <c r="Y632" s="63"/>
      <c r="Z632" s="63"/>
      <c r="AA632" s="63"/>
      <c r="AB632" s="63"/>
      <c r="AC632" s="63"/>
      <c r="AD632" s="63"/>
      <c r="AE632" s="63"/>
      <c r="AF632" s="63"/>
      <c r="AG632" s="63"/>
      <c r="AH632" s="63"/>
      <c r="AI632" s="63"/>
    </row>
    <row r="633" spans="4:35" s="66" customFormat="1">
      <c r="D633" s="75"/>
      <c r="F633" s="63"/>
      <c r="G633" s="63"/>
      <c r="H633" s="63"/>
      <c r="I633" s="63"/>
      <c r="J633" s="63"/>
      <c r="K633" s="63"/>
      <c r="L633" s="63"/>
      <c r="M633" s="63"/>
      <c r="N633" s="63"/>
      <c r="O633" s="63"/>
      <c r="P633" s="63"/>
      <c r="Q633" s="63"/>
      <c r="R633" s="63"/>
      <c r="S633" s="63"/>
      <c r="T633" s="63"/>
      <c r="U633" s="63"/>
      <c r="V633" s="63"/>
      <c r="W633" s="63"/>
      <c r="X633" s="63"/>
      <c r="Y633" s="63"/>
      <c r="Z633" s="63"/>
      <c r="AA633" s="63"/>
      <c r="AB633" s="63"/>
      <c r="AC633" s="63"/>
      <c r="AD633" s="63"/>
      <c r="AE633" s="63"/>
      <c r="AF633" s="63"/>
      <c r="AG633" s="63"/>
      <c r="AH633" s="63"/>
      <c r="AI633" s="63"/>
    </row>
    <row r="634" spans="4:35" s="66" customFormat="1">
      <c r="D634" s="75"/>
      <c r="F634" s="63"/>
      <c r="G634" s="63"/>
      <c r="H634" s="63"/>
      <c r="I634" s="63"/>
      <c r="J634" s="63"/>
      <c r="K634" s="63"/>
      <c r="L634" s="63"/>
      <c r="M634" s="63"/>
      <c r="N634" s="63"/>
      <c r="O634" s="63"/>
      <c r="P634" s="63"/>
      <c r="Q634" s="63"/>
      <c r="R634" s="63"/>
      <c r="S634" s="63"/>
      <c r="T634" s="63"/>
      <c r="U634" s="63"/>
      <c r="V634" s="63"/>
      <c r="W634" s="63"/>
      <c r="X634" s="63"/>
      <c r="Y634" s="63"/>
      <c r="Z634" s="63"/>
      <c r="AA634" s="63"/>
      <c r="AB634" s="63"/>
      <c r="AC634" s="63"/>
      <c r="AD634" s="63"/>
      <c r="AE634" s="63"/>
      <c r="AF634" s="63"/>
      <c r="AG634" s="63"/>
      <c r="AH634" s="63"/>
      <c r="AI634" s="63"/>
    </row>
    <row r="635" spans="4:35" s="66" customFormat="1">
      <c r="D635" s="75"/>
      <c r="F635" s="63"/>
      <c r="G635" s="63"/>
      <c r="H635" s="63"/>
      <c r="I635" s="63"/>
      <c r="J635" s="63"/>
      <c r="K635" s="63"/>
      <c r="L635" s="63"/>
      <c r="M635" s="63"/>
      <c r="N635" s="63"/>
      <c r="O635" s="63"/>
      <c r="P635" s="63"/>
      <c r="Q635" s="63"/>
      <c r="R635" s="63"/>
      <c r="S635" s="63"/>
      <c r="T635" s="63"/>
      <c r="U635" s="63"/>
      <c r="V635" s="63"/>
      <c r="W635" s="63"/>
      <c r="X635" s="63"/>
      <c r="Y635" s="63"/>
      <c r="Z635" s="63"/>
      <c r="AA635" s="63"/>
      <c r="AB635" s="63"/>
      <c r="AC635" s="63"/>
      <c r="AD635" s="63"/>
      <c r="AE635" s="63"/>
      <c r="AF635" s="63"/>
      <c r="AG635" s="63"/>
      <c r="AH635" s="63"/>
      <c r="AI635" s="63"/>
    </row>
    <row r="636" spans="4:35" s="66" customFormat="1">
      <c r="D636" s="75"/>
      <c r="F636" s="63"/>
      <c r="G636" s="63"/>
      <c r="H636" s="63"/>
      <c r="I636" s="63"/>
      <c r="J636" s="63"/>
      <c r="K636" s="63"/>
      <c r="L636" s="63"/>
      <c r="M636" s="63"/>
      <c r="N636" s="63"/>
      <c r="O636" s="63"/>
      <c r="P636" s="63"/>
      <c r="Q636" s="63"/>
      <c r="R636" s="63"/>
      <c r="S636" s="63"/>
      <c r="T636" s="63"/>
      <c r="U636" s="63"/>
      <c r="V636" s="63"/>
      <c r="W636" s="63"/>
      <c r="X636" s="63"/>
      <c r="Y636" s="63"/>
      <c r="Z636" s="63"/>
      <c r="AA636" s="63"/>
      <c r="AB636" s="63"/>
      <c r="AC636" s="63"/>
      <c r="AD636" s="63"/>
      <c r="AE636" s="63"/>
      <c r="AF636" s="63"/>
      <c r="AG636" s="63"/>
      <c r="AH636" s="63"/>
      <c r="AI636" s="63"/>
    </row>
    <row r="637" spans="4:35" s="66" customFormat="1">
      <c r="D637" s="75"/>
      <c r="F637" s="63"/>
      <c r="G637" s="63"/>
      <c r="H637" s="63"/>
      <c r="I637" s="63"/>
      <c r="J637" s="63"/>
      <c r="K637" s="63"/>
      <c r="L637" s="63"/>
      <c r="M637" s="63"/>
      <c r="N637" s="63"/>
      <c r="O637" s="63"/>
      <c r="P637" s="63"/>
      <c r="Q637" s="63"/>
      <c r="R637" s="63"/>
      <c r="S637" s="63"/>
      <c r="T637" s="63"/>
      <c r="U637" s="63"/>
      <c r="V637" s="63"/>
      <c r="W637" s="63"/>
      <c r="X637" s="63"/>
      <c r="Y637" s="63"/>
      <c r="Z637" s="63"/>
      <c r="AA637" s="63"/>
      <c r="AB637" s="63"/>
      <c r="AC637" s="63"/>
      <c r="AD637" s="63"/>
      <c r="AE637" s="63"/>
      <c r="AF637" s="63"/>
      <c r="AG637" s="63"/>
      <c r="AH637" s="63"/>
      <c r="AI637" s="63"/>
    </row>
    <row r="638" spans="4:35" s="66" customFormat="1">
      <c r="D638" s="75"/>
      <c r="F638" s="63"/>
      <c r="G638" s="63"/>
      <c r="H638" s="63"/>
      <c r="I638" s="63"/>
      <c r="J638" s="63"/>
      <c r="K638" s="63"/>
      <c r="L638" s="63"/>
      <c r="M638" s="63"/>
      <c r="N638" s="63"/>
      <c r="O638" s="63"/>
      <c r="P638" s="63"/>
      <c r="Q638" s="63"/>
      <c r="R638" s="63"/>
      <c r="S638" s="63"/>
      <c r="T638" s="63"/>
      <c r="U638" s="63"/>
      <c r="V638" s="63"/>
      <c r="W638" s="63"/>
      <c r="X638" s="63"/>
      <c r="Y638" s="63"/>
      <c r="Z638" s="63"/>
      <c r="AA638" s="63"/>
      <c r="AB638" s="63"/>
      <c r="AC638" s="63"/>
      <c r="AD638" s="63"/>
      <c r="AE638" s="63"/>
      <c r="AF638" s="63"/>
      <c r="AG638" s="63"/>
      <c r="AH638" s="63"/>
      <c r="AI638" s="63"/>
    </row>
    <row r="639" spans="4:35" s="66" customFormat="1">
      <c r="D639" s="75"/>
      <c r="F639" s="63"/>
      <c r="G639" s="63"/>
      <c r="H639" s="63"/>
      <c r="I639" s="63"/>
      <c r="J639" s="63"/>
      <c r="K639" s="63"/>
      <c r="L639" s="63"/>
      <c r="M639" s="63"/>
      <c r="N639" s="63"/>
      <c r="O639" s="63"/>
      <c r="P639" s="63"/>
      <c r="Q639" s="63"/>
      <c r="R639" s="63"/>
      <c r="S639" s="63"/>
      <c r="T639" s="63"/>
      <c r="U639" s="63"/>
      <c r="V639" s="63"/>
      <c r="W639" s="63"/>
      <c r="X639" s="63"/>
      <c r="Y639" s="63"/>
      <c r="Z639" s="63"/>
      <c r="AA639" s="63"/>
      <c r="AB639" s="63"/>
      <c r="AC639" s="63"/>
      <c r="AD639" s="63"/>
      <c r="AE639" s="63"/>
      <c r="AF639" s="63"/>
      <c r="AG639" s="63"/>
      <c r="AH639" s="63"/>
      <c r="AI639" s="63"/>
    </row>
    <row r="640" spans="4:35" s="66" customFormat="1">
      <c r="D640" s="75"/>
      <c r="F640" s="63"/>
      <c r="G640" s="63"/>
      <c r="H640" s="63"/>
      <c r="I640" s="63"/>
      <c r="J640" s="63"/>
      <c r="K640" s="63"/>
      <c r="L640" s="63"/>
      <c r="M640" s="63"/>
      <c r="N640" s="63"/>
      <c r="O640" s="63"/>
      <c r="P640" s="63"/>
      <c r="Q640" s="63"/>
      <c r="R640" s="63"/>
      <c r="S640" s="63"/>
      <c r="T640" s="63"/>
      <c r="U640" s="63"/>
      <c r="V640" s="63"/>
      <c r="W640" s="63"/>
      <c r="X640" s="63"/>
      <c r="Y640" s="63"/>
      <c r="Z640" s="63"/>
      <c r="AA640" s="63"/>
      <c r="AB640" s="63"/>
      <c r="AC640" s="63"/>
      <c r="AD640" s="63"/>
      <c r="AE640" s="63"/>
      <c r="AF640" s="63"/>
      <c r="AG640" s="63"/>
      <c r="AH640" s="63"/>
      <c r="AI640" s="63"/>
    </row>
    <row r="641" spans="4:35" s="66" customFormat="1">
      <c r="D641" s="75"/>
      <c r="F641" s="63"/>
      <c r="G641" s="63"/>
      <c r="H641" s="63"/>
      <c r="I641" s="63"/>
      <c r="J641" s="63"/>
      <c r="K641" s="63"/>
      <c r="L641" s="63"/>
      <c r="M641" s="63"/>
      <c r="N641" s="63"/>
      <c r="O641" s="63"/>
      <c r="P641" s="63"/>
      <c r="Q641" s="63"/>
      <c r="R641" s="63"/>
      <c r="S641" s="63"/>
      <c r="T641" s="63"/>
      <c r="U641" s="63"/>
      <c r="V641" s="63"/>
      <c r="W641" s="63"/>
      <c r="X641" s="63"/>
      <c r="Y641" s="63"/>
      <c r="Z641" s="63"/>
      <c r="AA641" s="63"/>
      <c r="AB641" s="63"/>
      <c r="AC641" s="63"/>
      <c r="AD641" s="63"/>
      <c r="AE641" s="63"/>
      <c r="AF641" s="63"/>
      <c r="AG641" s="63"/>
      <c r="AH641" s="63"/>
      <c r="AI641" s="63"/>
    </row>
    <row r="642" spans="4:35" s="66" customFormat="1">
      <c r="D642" s="75"/>
      <c r="F642" s="63"/>
      <c r="G642" s="63"/>
      <c r="H642" s="63"/>
      <c r="I642" s="63"/>
      <c r="J642" s="63"/>
      <c r="K642" s="63"/>
      <c r="L642" s="63"/>
      <c r="M642" s="63"/>
      <c r="N642" s="63"/>
      <c r="O642" s="63"/>
      <c r="P642" s="63"/>
      <c r="Q642" s="63"/>
      <c r="R642" s="63"/>
      <c r="S642" s="63"/>
      <c r="T642" s="63"/>
      <c r="U642" s="63"/>
      <c r="V642" s="63"/>
      <c r="W642" s="63"/>
      <c r="X642" s="63"/>
      <c r="Y642" s="63"/>
      <c r="Z642" s="63"/>
      <c r="AA642" s="63"/>
      <c r="AB642" s="63"/>
      <c r="AC642" s="63"/>
      <c r="AD642" s="63"/>
      <c r="AE642" s="63"/>
      <c r="AF642" s="63"/>
      <c r="AG642" s="63"/>
      <c r="AH642" s="63"/>
      <c r="AI642" s="63"/>
    </row>
    <row r="643" spans="4:35" s="66" customFormat="1">
      <c r="D643" s="75"/>
      <c r="F643" s="63"/>
      <c r="G643" s="63"/>
      <c r="H643" s="63"/>
      <c r="I643" s="63"/>
      <c r="J643" s="63"/>
      <c r="K643" s="63"/>
      <c r="L643" s="63"/>
      <c r="M643" s="63"/>
      <c r="N643" s="63"/>
      <c r="O643" s="63"/>
      <c r="P643" s="63"/>
      <c r="Q643" s="63"/>
      <c r="R643" s="63"/>
      <c r="S643" s="63"/>
      <c r="T643" s="63"/>
      <c r="U643" s="63"/>
      <c r="V643" s="63"/>
      <c r="W643" s="63"/>
      <c r="X643" s="63"/>
      <c r="Y643" s="63"/>
      <c r="Z643" s="63"/>
      <c r="AA643" s="63"/>
      <c r="AB643" s="63"/>
      <c r="AC643" s="63"/>
      <c r="AD643" s="63"/>
      <c r="AE643" s="63"/>
      <c r="AF643" s="63"/>
      <c r="AG643" s="63"/>
      <c r="AH643" s="63"/>
      <c r="AI643" s="63"/>
    </row>
    <row r="644" spans="4:35" s="66" customFormat="1">
      <c r="D644" s="75"/>
      <c r="F644" s="63"/>
      <c r="G644" s="63"/>
      <c r="H644" s="63"/>
      <c r="I644" s="63"/>
      <c r="J644" s="63"/>
      <c r="K644" s="63"/>
      <c r="L644" s="63"/>
      <c r="M644" s="63"/>
      <c r="N644" s="63"/>
      <c r="O644" s="63"/>
      <c r="P644" s="63"/>
      <c r="Q644" s="63"/>
      <c r="R644" s="63"/>
      <c r="S644" s="63"/>
      <c r="T644" s="63"/>
      <c r="U644" s="63"/>
      <c r="V644" s="63"/>
      <c r="W644" s="63"/>
      <c r="X644" s="63"/>
      <c r="Y644" s="63"/>
      <c r="Z644" s="63"/>
      <c r="AA644" s="63"/>
      <c r="AB644" s="63"/>
      <c r="AC644" s="63"/>
      <c r="AD644" s="63"/>
      <c r="AE644" s="63"/>
      <c r="AF644" s="63"/>
      <c r="AG644" s="63"/>
      <c r="AH644" s="63"/>
      <c r="AI644" s="63"/>
    </row>
    <row r="645" spans="4:35" s="66" customFormat="1">
      <c r="D645" s="75"/>
      <c r="F645" s="63"/>
      <c r="G645" s="63"/>
      <c r="H645" s="63"/>
      <c r="I645" s="63"/>
      <c r="J645" s="63"/>
      <c r="K645" s="63"/>
      <c r="L645" s="63"/>
      <c r="M645" s="63"/>
      <c r="N645" s="63"/>
      <c r="O645" s="63"/>
      <c r="P645" s="63"/>
      <c r="Q645" s="63"/>
      <c r="R645" s="63"/>
      <c r="S645" s="63"/>
      <c r="T645" s="63"/>
      <c r="U645" s="63"/>
      <c r="V645" s="63"/>
      <c r="W645" s="63"/>
      <c r="X645" s="63"/>
      <c r="Y645" s="63"/>
      <c r="Z645" s="63"/>
      <c r="AA645" s="63"/>
      <c r="AB645" s="63"/>
      <c r="AC645" s="63"/>
      <c r="AD645" s="63"/>
      <c r="AE645" s="63"/>
      <c r="AF645" s="63"/>
      <c r="AG645" s="63"/>
      <c r="AH645" s="63"/>
      <c r="AI645" s="63"/>
    </row>
    <row r="646" spans="4:35" s="66" customFormat="1">
      <c r="D646" s="75"/>
      <c r="F646" s="63"/>
      <c r="G646" s="63"/>
      <c r="H646" s="63"/>
      <c r="I646" s="63"/>
      <c r="J646" s="63"/>
      <c r="K646" s="63"/>
      <c r="L646" s="63"/>
      <c r="M646" s="63"/>
      <c r="N646" s="63"/>
      <c r="O646" s="63"/>
      <c r="P646" s="63"/>
      <c r="Q646" s="63"/>
      <c r="R646" s="63"/>
      <c r="S646" s="63"/>
      <c r="T646" s="63"/>
      <c r="U646" s="63"/>
      <c r="V646" s="63"/>
      <c r="W646" s="63"/>
      <c r="X646" s="63"/>
      <c r="Y646" s="63"/>
      <c r="Z646" s="63"/>
      <c r="AA646" s="63"/>
      <c r="AB646" s="63"/>
      <c r="AC646" s="63"/>
      <c r="AD646" s="63"/>
      <c r="AE646" s="63"/>
      <c r="AF646" s="63"/>
      <c r="AG646" s="63"/>
      <c r="AH646" s="63"/>
      <c r="AI646" s="63"/>
    </row>
    <row r="647" spans="4:35" s="66" customFormat="1">
      <c r="D647" s="75"/>
      <c r="F647" s="63"/>
      <c r="G647" s="63"/>
      <c r="H647" s="63"/>
      <c r="I647" s="63"/>
      <c r="J647" s="63"/>
      <c r="K647" s="63"/>
      <c r="L647" s="63"/>
      <c r="M647" s="63"/>
      <c r="N647" s="63"/>
      <c r="O647" s="63"/>
      <c r="P647" s="63"/>
      <c r="Q647" s="63"/>
      <c r="R647" s="63"/>
      <c r="S647" s="63"/>
      <c r="T647" s="63"/>
      <c r="U647" s="63"/>
      <c r="V647" s="63"/>
      <c r="W647" s="63"/>
      <c r="X647" s="63"/>
      <c r="Y647" s="63"/>
      <c r="Z647" s="63"/>
      <c r="AA647" s="63"/>
      <c r="AB647" s="63"/>
      <c r="AC647" s="63"/>
      <c r="AD647" s="63"/>
      <c r="AE647" s="63"/>
      <c r="AF647" s="63"/>
      <c r="AG647" s="63"/>
      <c r="AH647" s="63"/>
      <c r="AI647" s="63"/>
    </row>
    <row r="648" spans="4:35" s="66" customFormat="1">
      <c r="D648" s="75"/>
      <c r="F648" s="63"/>
      <c r="G648" s="63"/>
      <c r="H648" s="63"/>
      <c r="I648" s="63"/>
      <c r="J648" s="63"/>
      <c r="K648" s="63"/>
      <c r="L648" s="63"/>
      <c r="M648" s="63"/>
      <c r="N648" s="63"/>
      <c r="O648" s="63"/>
      <c r="P648" s="63"/>
      <c r="Q648" s="63"/>
      <c r="R648" s="63"/>
      <c r="S648" s="63"/>
      <c r="T648" s="63"/>
      <c r="U648" s="63"/>
      <c r="V648" s="63"/>
      <c r="W648" s="63"/>
      <c r="X648" s="63"/>
      <c r="Y648" s="63"/>
      <c r="Z648" s="63"/>
      <c r="AA648" s="63"/>
      <c r="AB648" s="63"/>
      <c r="AC648" s="63"/>
      <c r="AD648" s="63"/>
      <c r="AE648" s="63"/>
      <c r="AF648" s="63"/>
      <c r="AG648" s="63"/>
      <c r="AH648" s="63"/>
      <c r="AI648" s="63"/>
    </row>
    <row r="649" spans="4:35" s="66" customFormat="1">
      <c r="D649" s="75"/>
      <c r="F649" s="63"/>
      <c r="G649" s="63"/>
      <c r="H649" s="63"/>
      <c r="I649" s="63"/>
      <c r="J649" s="63"/>
      <c r="K649" s="63"/>
      <c r="L649" s="63"/>
      <c r="M649" s="63"/>
      <c r="N649" s="63"/>
      <c r="O649" s="63"/>
      <c r="P649" s="63"/>
      <c r="Q649" s="63"/>
      <c r="R649" s="63"/>
      <c r="S649" s="63"/>
      <c r="T649" s="63"/>
      <c r="U649" s="63"/>
      <c r="V649" s="63"/>
      <c r="W649" s="63"/>
      <c r="X649" s="63"/>
      <c r="Y649" s="63"/>
      <c r="Z649" s="63"/>
      <c r="AA649" s="63"/>
      <c r="AB649" s="63"/>
      <c r="AC649" s="63"/>
      <c r="AD649" s="63"/>
      <c r="AE649" s="63"/>
      <c r="AF649" s="63"/>
      <c r="AG649" s="63"/>
      <c r="AH649" s="63"/>
      <c r="AI649" s="63"/>
    </row>
    <row r="650" spans="4:35" s="66" customFormat="1">
      <c r="D650" s="75"/>
      <c r="F650" s="63"/>
      <c r="G650" s="63"/>
      <c r="H650" s="63"/>
      <c r="I650" s="63"/>
      <c r="J650" s="63"/>
      <c r="K650" s="63"/>
      <c r="L650" s="63"/>
      <c r="M650" s="63"/>
      <c r="N650" s="63"/>
      <c r="O650" s="63"/>
      <c r="P650" s="63"/>
      <c r="Q650" s="63"/>
      <c r="R650" s="63"/>
      <c r="S650" s="63"/>
      <c r="T650" s="63"/>
      <c r="U650" s="63"/>
      <c r="V650" s="63"/>
      <c r="W650" s="63"/>
      <c r="X650" s="63"/>
      <c r="Y650" s="63"/>
      <c r="Z650" s="63"/>
      <c r="AA650" s="63"/>
      <c r="AB650" s="63"/>
      <c r="AC650" s="63"/>
      <c r="AD650" s="63"/>
      <c r="AE650" s="63"/>
      <c r="AF650" s="63"/>
      <c r="AG650" s="63"/>
      <c r="AH650" s="63"/>
      <c r="AI650" s="63"/>
    </row>
    <row r="651" spans="4:35" s="66" customFormat="1">
      <c r="D651" s="75"/>
      <c r="F651" s="63"/>
      <c r="G651" s="63"/>
      <c r="H651" s="63"/>
      <c r="I651" s="63"/>
      <c r="J651" s="63"/>
      <c r="K651" s="63"/>
      <c r="L651" s="63"/>
      <c r="M651" s="63"/>
      <c r="N651" s="63"/>
      <c r="O651" s="63"/>
      <c r="P651" s="63"/>
      <c r="Q651" s="63"/>
      <c r="R651" s="63"/>
      <c r="S651" s="63"/>
      <c r="T651" s="63"/>
      <c r="U651" s="63"/>
      <c r="V651" s="63"/>
      <c r="W651" s="63"/>
      <c r="X651" s="63"/>
      <c r="Y651" s="63"/>
      <c r="Z651" s="63"/>
      <c r="AA651" s="63"/>
      <c r="AB651" s="63"/>
      <c r="AC651" s="63"/>
      <c r="AD651" s="63"/>
      <c r="AE651" s="63"/>
      <c r="AF651" s="63"/>
      <c r="AG651" s="63"/>
      <c r="AH651" s="63"/>
      <c r="AI651" s="63"/>
    </row>
    <row r="652" spans="4:35" s="66" customFormat="1">
      <c r="D652" s="75"/>
      <c r="F652" s="63"/>
      <c r="G652" s="63"/>
      <c r="H652" s="63"/>
      <c r="I652" s="63"/>
      <c r="J652" s="63"/>
      <c r="K652" s="63"/>
      <c r="L652" s="63"/>
      <c r="M652" s="63"/>
      <c r="N652" s="63"/>
      <c r="O652" s="63"/>
      <c r="P652" s="63"/>
      <c r="Q652" s="63"/>
      <c r="R652" s="63"/>
      <c r="S652" s="63"/>
      <c r="T652" s="63"/>
      <c r="U652" s="63"/>
      <c r="V652" s="63"/>
      <c r="W652" s="63"/>
      <c r="X652" s="63"/>
      <c r="Y652" s="63"/>
      <c r="Z652" s="63"/>
      <c r="AA652" s="63"/>
      <c r="AB652" s="63"/>
      <c r="AC652" s="63"/>
      <c r="AD652" s="63"/>
      <c r="AE652" s="63"/>
      <c r="AF652" s="63"/>
      <c r="AG652" s="63"/>
      <c r="AH652" s="63"/>
      <c r="AI652" s="63"/>
    </row>
    <row r="653" spans="4:35" s="66" customFormat="1">
      <c r="D653" s="75"/>
      <c r="F653" s="63"/>
      <c r="G653" s="63"/>
      <c r="H653" s="63"/>
      <c r="I653" s="63"/>
      <c r="J653" s="63"/>
      <c r="K653" s="63"/>
      <c r="L653" s="63"/>
      <c r="M653" s="63"/>
      <c r="N653" s="63"/>
      <c r="O653" s="63"/>
      <c r="P653" s="63"/>
      <c r="Q653" s="63"/>
      <c r="R653" s="63"/>
      <c r="S653" s="63"/>
      <c r="T653" s="63"/>
      <c r="U653" s="63"/>
      <c r="V653" s="63"/>
      <c r="W653" s="63"/>
      <c r="X653" s="63"/>
      <c r="Y653" s="63"/>
      <c r="Z653" s="63"/>
      <c r="AA653" s="63"/>
      <c r="AB653" s="63"/>
      <c r="AC653" s="63"/>
      <c r="AD653" s="63"/>
      <c r="AE653" s="63"/>
      <c r="AF653" s="63"/>
      <c r="AG653" s="63"/>
      <c r="AH653" s="63"/>
      <c r="AI653" s="63"/>
    </row>
    <row r="654" spans="4:35" s="66" customFormat="1">
      <c r="D654" s="75"/>
      <c r="F654" s="158"/>
      <c r="G654" s="64"/>
      <c r="H654" s="30"/>
      <c r="I654" s="136"/>
      <c r="J654" s="136"/>
      <c r="K654" s="136"/>
      <c r="L654" s="136"/>
      <c r="M654" s="63"/>
      <c r="N654" s="63"/>
      <c r="O654" s="63"/>
      <c r="P654" s="63"/>
      <c r="Q654" s="63"/>
      <c r="R654" s="63"/>
      <c r="S654" s="63"/>
      <c r="T654" s="63"/>
      <c r="U654" s="63"/>
      <c r="V654" s="63"/>
      <c r="W654" s="63"/>
      <c r="X654" s="63"/>
      <c r="Y654" s="63"/>
      <c r="Z654" s="63"/>
      <c r="AA654" s="63"/>
      <c r="AB654" s="63"/>
      <c r="AC654" s="63"/>
      <c r="AD654" s="63"/>
      <c r="AE654" s="63"/>
      <c r="AF654" s="63"/>
      <c r="AG654" s="63"/>
      <c r="AH654" s="63"/>
      <c r="AI654" s="63"/>
    </row>
    <row r="655" spans="4:35" s="66" customFormat="1">
      <c r="D655" s="75"/>
      <c r="F655" s="158"/>
      <c r="G655" s="64"/>
      <c r="H655" s="30"/>
      <c r="I655" s="136"/>
      <c r="J655" s="136"/>
      <c r="K655" s="136"/>
      <c r="L655" s="136"/>
      <c r="M655" s="63"/>
      <c r="N655" s="63"/>
      <c r="O655" s="63"/>
      <c r="P655" s="63"/>
      <c r="Q655" s="63"/>
      <c r="R655" s="63"/>
      <c r="S655" s="63"/>
      <c r="T655" s="63"/>
      <c r="U655" s="63"/>
      <c r="V655" s="63"/>
      <c r="W655" s="63"/>
      <c r="X655" s="63"/>
      <c r="Y655" s="63"/>
      <c r="Z655" s="63"/>
      <c r="AA655" s="63"/>
      <c r="AB655" s="63"/>
      <c r="AC655" s="63"/>
      <c r="AD655" s="63"/>
      <c r="AE655" s="63"/>
      <c r="AF655" s="63"/>
      <c r="AG655" s="63"/>
      <c r="AH655" s="63"/>
      <c r="AI655" s="63"/>
    </row>
    <row r="656" spans="4:35" s="66" customFormat="1">
      <c r="D656" s="75"/>
      <c r="F656" s="158"/>
      <c r="G656" s="64"/>
      <c r="H656" s="30"/>
      <c r="I656" s="136"/>
      <c r="J656" s="136"/>
      <c r="K656" s="136"/>
      <c r="L656" s="136"/>
      <c r="M656" s="63"/>
      <c r="N656" s="63"/>
      <c r="O656" s="63"/>
      <c r="P656" s="63"/>
      <c r="Q656" s="63"/>
      <c r="R656" s="63"/>
      <c r="S656" s="63"/>
      <c r="T656" s="63"/>
      <c r="U656" s="63"/>
      <c r="V656" s="63"/>
      <c r="W656" s="63"/>
      <c r="X656" s="63"/>
      <c r="Y656" s="63"/>
      <c r="Z656" s="63"/>
      <c r="AA656" s="63"/>
      <c r="AB656" s="63"/>
      <c r="AC656" s="63"/>
      <c r="AD656" s="63"/>
      <c r="AE656" s="63"/>
      <c r="AF656" s="63"/>
      <c r="AG656" s="63"/>
      <c r="AH656" s="63"/>
      <c r="AI656" s="63"/>
    </row>
    <row r="657" spans="4:35" s="66" customFormat="1">
      <c r="D657" s="75"/>
      <c r="F657" s="158"/>
      <c r="G657" s="64"/>
      <c r="H657" s="30"/>
      <c r="I657" s="136"/>
      <c r="J657" s="136"/>
      <c r="K657" s="136"/>
      <c r="L657" s="136"/>
      <c r="M657" s="63"/>
      <c r="N657" s="63"/>
      <c r="O657" s="63"/>
      <c r="P657" s="63"/>
      <c r="Q657" s="63"/>
      <c r="R657" s="63"/>
      <c r="S657" s="63"/>
      <c r="T657" s="63"/>
      <c r="U657" s="63"/>
      <c r="V657" s="63"/>
      <c r="W657" s="63"/>
      <c r="X657" s="63"/>
      <c r="Y657" s="63"/>
      <c r="Z657" s="63"/>
      <c r="AA657" s="63"/>
      <c r="AB657" s="63"/>
      <c r="AC657" s="63"/>
      <c r="AD657" s="63"/>
      <c r="AE657" s="63"/>
      <c r="AF657" s="63"/>
      <c r="AG657" s="63"/>
      <c r="AH657" s="63"/>
      <c r="AI657" s="63"/>
    </row>
    <row r="658" spans="4:35" s="66" customFormat="1">
      <c r="D658" s="75"/>
      <c r="F658" s="158"/>
      <c r="G658" s="64"/>
      <c r="H658" s="30"/>
      <c r="I658" s="136"/>
      <c r="J658" s="136"/>
      <c r="K658" s="136"/>
      <c r="L658" s="136"/>
      <c r="M658" s="63"/>
      <c r="N658" s="63"/>
      <c r="O658" s="63"/>
      <c r="P658" s="63"/>
      <c r="Q658" s="63"/>
      <c r="R658" s="63"/>
      <c r="S658" s="63"/>
      <c r="T658" s="63"/>
      <c r="U658" s="63"/>
      <c r="V658" s="63"/>
      <c r="W658" s="63"/>
      <c r="X658" s="63"/>
      <c r="Y658" s="63"/>
      <c r="Z658" s="63"/>
      <c r="AA658" s="63"/>
      <c r="AB658" s="63"/>
      <c r="AC658" s="63"/>
      <c r="AD658" s="63"/>
      <c r="AE658" s="63"/>
      <c r="AF658" s="63"/>
      <c r="AG658" s="63"/>
      <c r="AH658" s="63"/>
      <c r="AI658" s="63"/>
    </row>
    <row r="659" spans="4:35" s="66" customFormat="1">
      <c r="D659" s="75"/>
      <c r="F659" s="158"/>
      <c r="G659" s="64"/>
      <c r="H659" s="30"/>
      <c r="I659" s="136"/>
      <c r="J659" s="136"/>
      <c r="K659" s="136"/>
      <c r="L659" s="136"/>
      <c r="M659" s="63"/>
      <c r="N659" s="63"/>
      <c r="O659" s="63"/>
      <c r="P659" s="63"/>
      <c r="Q659" s="63"/>
      <c r="R659" s="63"/>
      <c r="S659" s="63"/>
      <c r="T659" s="63"/>
      <c r="U659" s="63"/>
      <c r="V659" s="63"/>
      <c r="W659" s="63"/>
      <c r="X659" s="63"/>
      <c r="Y659" s="63"/>
      <c r="Z659" s="63"/>
      <c r="AA659" s="63"/>
      <c r="AB659" s="63"/>
      <c r="AC659" s="63"/>
      <c r="AD659" s="63"/>
      <c r="AE659" s="63"/>
      <c r="AF659" s="63"/>
      <c r="AG659" s="63"/>
      <c r="AH659" s="63"/>
      <c r="AI659" s="63"/>
    </row>
    <row r="660" spans="4:35" s="66" customFormat="1">
      <c r="D660" s="75"/>
      <c r="F660" s="158"/>
      <c r="G660" s="64"/>
      <c r="H660" s="30"/>
      <c r="I660" s="136"/>
      <c r="J660" s="136"/>
      <c r="K660" s="136"/>
      <c r="L660" s="136"/>
      <c r="M660" s="63"/>
      <c r="N660" s="63"/>
      <c r="O660" s="63"/>
      <c r="P660" s="63"/>
      <c r="Q660" s="63"/>
      <c r="R660" s="63"/>
      <c r="S660" s="63"/>
      <c r="T660" s="63"/>
      <c r="U660" s="63"/>
      <c r="V660" s="63"/>
      <c r="W660" s="63"/>
      <c r="X660" s="63"/>
      <c r="Y660" s="63"/>
      <c r="Z660" s="63"/>
      <c r="AA660" s="63"/>
      <c r="AB660" s="63"/>
      <c r="AC660" s="63"/>
      <c r="AD660" s="63"/>
      <c r="AE660" s="63"/>
      <c r="AF660" s="63"/>
      <c r="AG660" s="63"/>
      <c r="AH660" s="63"/>
      <c r="AI660" s="63"/>
    </row>
    <row r="661" spans="4:35" s="66" customFormat="1">
      <c r="D661" s="75"/>
      <c r="F661" s="158"/>
      <c r="G661" s="64"/>
      <c r="H661" s="30"/>
      <c r="I661" s="136"/>
      <c r="J661" s="136"/>
      <c r="K661" s="136"/>
      <c r="L661" s="136"/>
      <c r="M661" s="63"/>
      <c r="N661" s="63"/>
      <c r="O661" s="63"/>
      <c r="P661" s="63"/>
      <c r="Q661" s="63"/>
      <c r="R661" s="63"/>
      <c r="S661" s="63"/>
      <c r="T661" s="63"/>
      <c r="U661" s="63"/>
      <c r="V661" s="63"/>
      <c r="W661" s="63"/>
      <c r="X661" s="63"/>
      <c r="Y661" s="63"/>
      <c r="Z661" s="63"/>
      <c r="AA661" s="63"/>
      <c r="AB661" s="63"/>
      <c r="AC661" s="63"/>
      <c r="AD661" s="63"/>
      <c r="AE661" s="63"/>
      <c r="AF661" s="63"/>
      <c r="AG661" s="63"/>
      <c r="AH661" s="63"/>
      <c r="AI661" s="63"/>
    </row>
    <row r="662" spans="4:35" s="66" customFormat="1">
      <c r="D662" s="75"/>
      <c r="F662" s="158"/>
      <c r="G662" s="64"/>
      <c r="H662" s="30"/>
      <c r="I662" s="136"/>
      <c r="J662" s="136"/>
      <c r="K662" s="136"/>
      <c r="L662" s="136"/>
      <c r="M662" s="159"/>
      <c r="N662" s="84"/>
      <c r="O662" s="84"/>
      <c r="P662" s="84"/>
      <c r="Q662" s="84"/>
      <c r="R662" s="84"/>
      <c r="S662" s="159"/>
      <c r="T662" s="159"/>
      <c r="U662" s="159"/>
      <c r="V662" s="159"/>
      <c r="W662" s="159"/>
      <c r="X662" s="159"/>
      <c r="AA662" s="159"/>
    </row>
    <row r="663" spans="4:35" s="66" customFormat="1">
      <c r="D663" s="75"/>
      <c r="F663" s="158"/>
      <c r="G663" s="64"/>
      <c r="H663" s="30"/>
      <c r="I663" s="136"/>
      <c r="J663" s="136"/>
      <c r="K663" s="136"/>
      <c r="L663" s="136"/>
      <c r="M663" s="159"/>
      <c r="N663" s="84"/>
      <c r="O663" s="84"/>
      <c r="P663" s="84"/>
      <c r="Q663" s="84"/>
      <c r="R663" s="84"/>
      <c r="S663" s="159"/>
      <c r="T663" s="159"/>
      <c r="U663" s="159"/>
      <c r="V663" s="159"/>
      <c r="W663" s="159"/>
      <c r="X663" s="159"/>
      <c r="AA663" s="159"/>
    </row>
    <row r="664" spans="4:35" s="66" customFormat="1">
      <c r="D664" s="75"/>
      <c r="F664" s="158"/>
      <c r="G664" s="64"/>
      <c r="H664" s="30"/>
      <c r="I664" s="136"/>
      <c r="J664" s="136"/>
      <c r="K664" s="136"/>
      <c r="L664" s="136"/>
      <c r="M664" s="159"/>
      <c r="N664" s="84"/>
      <c r="O664" s="84"/>
      <c r="P664" s="84"/>
      <c r="Q664" s="84"/>
      <c r="R664" s="84"/>
      <c r="S664" s="159"/>
      <c r="T664" s="159"/>
      <c r="U664" s="159"/>
      <c r="V664" s="159"/>
      <c r="W664" s="159"/>
      <c r="X664" s="159"/>
      <c r="AA664" s="159"/>
    </row>
    <row r="665" spans="4:35" s="66" customFormat="1">
      <c r="D665" s="75"/>
      <c r="F665" s="158"/>
      <c r="G665" s="64"/>
      <c r="H665" s="30"/>
      <c r="I665" s="136"/>
      <c r="J665" s="136"/>
      <c r="K665" s="136"/>
      <c r="L665" s="136"/>
      <c r="M665" s="159"/>
      <c r="N665" s="84"/>
      <c r="O665" s="84"/>
      <c r="P665" s="84"/>
      <c r="Q665" s="84"/>
      <c r="R665" s="84"/>
      <c r="S665" s="159"/>
      <c r="T665" s="159"/>
      <c r="U665" s="159"/>
      <c r="V665" s="159"/>
      <c r="W665" s="159"/>
      <c r="X665" s="159"/>
      <c r="AA665" s="159"/>
    </row>
    <row r="666" spans="4:35" s="66" customFormat="1">
      <c r="D666" s="75"/>
      <c r="F666" s="158"/>
      <c r="G666" s="64"/>
      <c r="H666" s="30"/>
      <c r="I666" s="136"/>
      <c r="J666" s="136"/>
      <c r="K666" s="136"/>
      <c r="L666" s="136"/>
      <c r="M666" s="159"/>
      <c r="N666" s="84"/>
      <c r="O666" s="84"/>
      <c r="P666" s="84"/>
      <c r="Q666" s="84"/>
      <c r="R666" s="84"/>
      <c r="S666" s="159"/>
      <c r="T666" s="159"/>
      <c r="U666" s="159"/>
      <c r="V666" s="159"/>
      <c r="W666" s="159"/>
      <c r="X666" s="159"/>
      <c r="AA666" s="159"/>
    </row>
    <row r="667" spans="4:35" s="66" customFormat="1">
      <c r="D667" s="75"/>
      <c r="F667" s="158"/>
      <c r="G667" s="64"/>
      <c r="H667" s="30"/>
      <c r="I667" s="136"/>
      <c r="J667" s="136"/>
      <c r="K667" s="136"/>
      <c r="L667" s="136"/>
      <c r="M667" s="159"/>
      <c r="N667" s="84"/>
      <c r="O667" s="84"/>
      <c r="P667" s="84"/>
      <c r="Q667" s="84"/>
      <c r="R667" s="84"/>
      <c r="S667" s="159"/>
      <c r="T667" s="159"/>
      <c r="U667" s="159"/>
      <c r="V667" s="159"/>
      <c r="W667" s="159"/>
      <c r="X667" s="159"/>
      <c r="AA667" s="159"/>
    </row>
    <row r="668" spans="4:35" s="66" customFormat="1">
      <c r="D668" s="75"/>
      <c r="F668" s="158"/>
      <c r="G668" s="64"/>
      <c r="H668" s="30"/>
      <c r="I668" s="136"/>
      <c r="J668" s="136"/>
      <c r="K668" s="136"/>
      <c r="L668" s="136"/>
      <c r="M668" s="159"/>
      <c r="N668" s="84"/>
      <c r="O668" s="84"/>
      <c r="P668" s="84"/>
      <c r="Q668" s="84"/>
      <c r="R668" s="84"/>
      <c r="S668" s="159"/>
      <c r="T668" s="159"/>
      <c r="U668" s="159"/>
      <c r="V668" s="159"/>
      <c r="W668" s="159"/>
      <c r="X668" s="159"/>
      <c r="AA668" s="159"/>
    </row>
    <row r="669" spans="4:35" s="66" customFormat="1">
      <c r="D669" s="75"/>
      <c r="F669" s="158"/>
      <c r="G669" s="64"/>
      <c r="H669" s="30"/>
      <c r="I669" s="136"/>
      <c r="J669" s="136"/>
      <c r="K669" s="136"/>
      <c r="L669" s="136"/>
      <c r="M669" s="159"/>
      <c r="N669" s="84"/>
      <c r="O669" s="84"/>
      <c r="P669" s="84"/>
      <c r="Q669" s="84"/>
      <c r="R669" s="84"/>
      <c r="S669" s="159"/>
      <c r="T669" s="159"/>
      <c r="U669" s="159"/>
      <c r="V669" s="159"/>
      <c r="W669" s="159"/>
      <c r="X669" s="159"/>
      <c r="AA669" s="159"/>
    </row>
    <row r="670" spans="4:35" s="66" customFormat="1">
      <c r="D670" s="75"/>
      <c r="F670" s="158"/>
      <c r="G670" s="64"/>
      <c r="H670" s="30"/>
      <c r="I670" s="136"/>
      <c r="J670" s="136"/>
      <c r="K670" s="136"/>
      <c r="L670" s="136"/>
      <c r="M670" s="159"/>
      <c r="N670" s="84"/>
      <c r="O670" s="84"/>
      <c r="P670" s="84"/>
      <c r="Q670" s="84"/>
      <c r="R670" s="84"/>
      <c r="S670" s="159"/>
      <c r="T670" s="159"/>
      <c r="U670" s="159"/>
      <c r="V670" s="159"/>
      <c r="W670" s="159"/>
      <c r="X670" s="159"/>
      <c r="AA670" s="159"/>
    </row>
    <row r="671" spans="4:35" s="66" customFormat="1">
      <c r="D671" s="75"/>
      <c r="F671" s="158"/>
      <c r="G671" s="64"/>
      <c r="H671" s="30"/>
      <c r="I671" s="136"/>
      <c r="J671" s="136"/>
      <c r="K671" s="136"/>
      <c r="L671" s="136"/>
      <c r="M671" s="159"/>
      <c r="N671" s="84"/>
      <c r="O671" s="84"/>
      <c r="P671" s="84"/>
      <c r="Q671" s="84"/>
      <c r="R671" s="84"/>
      <c r="S671" s="159"/>
      <c r="T671" s="159"/>
      <c r="U671" s="159"/>
      <c r="V671" s="159"/>
      <c r="W671" s="159"/>
      <c r="X671" s="159"/>
      <c r="AA671" s="159"/>
    </row>
    <row r="672" spans="4:35" s="66" customFormat="1">
      <c r="D672" s="75"/>
      <c r="F672" s="158"/>
      <c r="G672" s="64"/>
      <c r="H672" s="30"/>
      <c r="I672" s="136"/>
      <c r="J672" s="136"/>
      <c r="K672" s="136"/>
      <c r="L672" s="136"/>
      <c r="M672" s="159"/>
      <c r="N672" s="84"/>
      <c r="O672" s="84"/>
      <c r="P672" s="84"/>
      <c r="Q672" s="84"/>
      <c r="R672" s="84"/>
      <c r="S672" s="159"/>
      <c r="T672" s="159"/>
      <c r="U672" s="159"/>
      <c r="V672" s="159"/>
      <c r="W672" s="159"/>
      <c r="X672" s="159"/>
      <c r="AA672" s="159"/>
    </row>
    <row r="673" spans="4:27" s="66" customFormat="1">
      <c r="D673" s="75"/>
      <c r="F673" s="158"/>
      <c r="G673" s="64"/>
      <c r="H673" s="30"/>
      <c r="I673" s="136"/>
      <c r="J673" s="136"/>
      <c r="K673" s="136"/>
      <c r="L673" s="136"/>
      <c r="M673" s="159"/>
      <c r="N673" s="84"/>
      <c r="O673" s="84"/>
      <c r="P673" s="84"/>
      <c r="Q673" s="84"/>
      <c r="R673" s="84"/>
      <c r="S673" s="159"/>
      <c r="T673" s="159"/>
      <c r="U673" s="159"/>
      <c r="V673" s="159"/>
      <c r="W673" s="159"/>
      <c r="X673" s="159"/>
      <c r="AA673" s="159"/>
    </row>
    <row r="674" spans="4:27" s="66" customFormat="1">
      <c r="D674" s="75"/>
      <c r="F674" s="158"/>
      <c r="G674" s="64"/>
      <c r="H674" s="30"/>
      <c r="I674" s="136"/>
      <c r="J674" s="136"/>
      <c r="K674" s="136"/>
      <c r="L674" s="136"/>
      <c r="M674" s="159"/>
      <c r="N674" s="84"/>
      <c r="O674" s="84"/>
      <c r="P674" s="84"/>
      <c r="Q674" s="84"/>
      <c r="R674" s="84"/>
      <c r="S674" s="159"/>
      <c r="T674" s="159"/>
      <c r="U674" s="159"/>
      <c r="V674" s="159"/>
      <c r="W674" s="159"/>
      <c r="X674" s="159"/>
      <c r="AA674" s="159"/>
    </row>
    <row r="675" spans="4:27" s="66" customFormat="1">
      <c r="D675" s="75"/>
      <c r="F675" s="158"/>
      <c r="G675" s="64"/>
      <c r="H675" s="30"/>
      <c r="I675" s="136"/>
      <c r="J675" s="136"/>
      <c r="K675" s="136"/>
      <c r="L675" s="136"/>
      <c r="M675" s="159"/>
      <c r="N675" s="84"/>
      <c r="O675" s="84"/>
      <c r="P675" s="84"/>
      <c r="Q675" s="84"/>
      <c r="R675" s="84"/>
      <c r="S675" s="159"/>
      <c r="T675" s="159"/>
      <c r="U675" s="159"/>
      <c r="V675" s="159"/>
      <c r="W675" s="159"/>
      <c r="X675" s="159"/>
      <c r="AA675" s="159"/>
    </row>
    <row r="676" spans="4:27" s="66" customFormat="1">
      <c r="D676" s="75"/>
      <c r="F676" s="158"/>
      <c r="G676" s="64"/>
      <c r="H676" s="30"/>
      <c r="I676" s="136"/>
      <c r="J676" s="136"/>
      <c r="K676" s="136"/>
      <c r="L676" s="136"/>
      <c r="M676" s="159"/>
      <c r="N676" s="84"/>
      <c r="O676" s="84"/>
      <c r="P676" s="84"/>
      <c r="Q676" s="84"/>
      <c r="R676" s="84"/>
      <c r="S676" s="159"/>
      <c r="T676" s="159"/>
      <c r="U676" s="159"/>
      <c r="V676" s="159"/>
      <c r="W676" s="159"/>
      <c r="X676" s="159"/>
      <c r="AA676" s="159"/>
    </row>
    <row r="677" spans="4:27" s="66" customFormat="1">
      <c r="D677" s="75"/>
      <c r="F677" s="158"/>
      <c r="G677" s="64"/>
      <c r="H677" s="30"/>
      <c r="I677" s="136"/>
      <c r="J677" s="136"/>
      <c r="K677" s="136"/>
      <c r="L677" s="136"/>
      <c r="M677" s="159"/>
      <c r="N677" s="84"/>
      <c r="O677" s="84"/>
      <c r="P677" s="84"/>
      <c r="Q677" s="84"/>
      <c r="R677" s="84"/>
      <c r="S677" s="159"/>
      <c r="T677" s="159"/>
      <c r="U677" s="159"/>
      <c r="V677" s="159"/>
      <c r="W677" s="159"/>
      <c r="X677" s="159"/>
      <c r="AA677" s="159"/>
    </row>
    <row r="678" spans="4:27" s="66" customFormat="1">
      <c r="D678" s="75"/>
      <c r="F678" s="158"/>
      <c r="G678" s="64"/>
      <c r="H678" s="30"/>
      <c r="I678" s="136"/>
      <c r="J678" s="136"/>
      <c r="K678" s="136"/>
      <c r="L678" s="136"/>
      <c r="M678" s="159"/>
      <c r="N678" s="84"/>
      <c r="O678" s="84"/>
      <c r="P678" s="84"/>
      <c r="Q678" s="84"/>
      <c r="R678" s="84"/>
      <c r="S678" s="159"/>
      <c r="T678" s="159"/>
      <c r="U678" s="159"/>
      <c r="V678" s="159"/>
      <c r="W678" s="159"/>
      <c r="X678" s="159"/>
      <c r="AA678" s="159"/>
    </row>
    <row r="679" spans="4:27" s="66" customFormat="1">
      <c r="D679" s="75"/>
      <c r="F679" s="158"/>
      <c r="G679" s="64"/>
      <c r="H679" s="30"/>
      <c r="I679" s="136"/>
      <c r="J679" s="136"/>
      <c r="K679" s="136"/>
      <c r="L679" s="136"/>
      <c r="M679" s="159"/>
      <c r="N679" s="84"/>
      <c r="O679" s="84"/>
      <c r="P679" s="84"/>
      <c r="Q679" s="84"/>
      <c r="R679" s="84"/>
      <c r="S679" s="159"/>
      <c r="T679" s="159"/>
      <c r="U679" s="159"/>
      <c r="V679" s="159"/>
      <c r="W679" s="159"/>
      <c r="X679" s="159"/>
      <c r="AA679" s="159"/>
    </row>
    <row r="680" spans="4:27" s="66" customFormat="1">
      <c r="D680" s="75"/>
      <c r="F680" s="158"/>
      <c r="G680" s="64"/>
      <c r="H680" s="30"/>
      <c r="I680" s="136"/>
      <c r="J680" s="136"/>
      <c r="K680" s="136"/>
      <c r="L680" s="136"/>
      <c r="M680" s="159"/>
      <c r="N680" s="84"/>
      <c r="O680" s="84"/>
      <c r="P680" s="84"/>
      <c r="Q680" s="84"/>
      <c r="R680" s="84"/>
      <c r="S680" s="159"/>
      <c r="T680" s="159"/>
      <c r="U680" s="159"/>
      <c r="V680" s="159"/>
      <c r="W680" s="159"/>
      <c r="X680" s="159"/>
      <c r="AA680" s="159"/>
    </row>
    <row r="681" spans="4:27" s="66" customFormat="1">
      <c r="D681" s="75"/>
      <c r="F681" s="158"/>
      <c r="G681" s="64"/>
      <c r="H681" s="30"/>
      <c r="I681" s="136"/>
      <c r="J681" s="136"/>
      <c r="K681" s="136"/>
      <c r="L681" s="136"/>
      <c r="M681" s="159"/>
      <c r="N681" s="84"/>
      <c r="O681" s="84"/>
      <c r="P681" s="84"/>
      <c r="Q681" s="84"/>
      <c r="R681" s="84"/>
      <c r="S681" s="159"/>
      <c r="T681" s="159"/>
      <c r="U681" s="159"/>
      <c r="V681" s="159"/>
      <c r="W681" s="159"/>
      <c r="X681" s="159"/>
      <c r="AA681" s="159"/>
    </row>
    <row r="682" spans="4:27" s="66" customFormat="1">
      <c r="D682" s="75"/>
      <c r="F682" s="158"/>
      <c r="G682" s="64"/>
      <c r="H682" s="30"/>
      <c r="I682" s="136"/>
      <c r="J682" s="136"/>
      <c r="K682" s="136"/>
      <c r="L682" s="136"/>
      <c r="M682" s="159"/>
      <c r="N682" s="84"/>
      <c r="O682" s="84"/>
      <c r="P682" s="84"/>
      <c r="Q682" s="84"/>
      <c r="R682" s="84"/>
      <c r="S682" s="159"/>
      <c r="T682" s="159"/>
      <c r="U682" s="159"/>
      <c r="V682" s="159"/>
      <c r="W682" s="159"/>
      <c r="X682" s="159"/>
      <c r="AA682" s="159"/>
    </row>
    <row r="683" spans="4:27" s="66" customFormat="1">
      <c r="D683" s="75"/>
      <c r="F683" s="158"/>
      <c r="G683" s="64"/>
      <c r="H683" s="30"/>
      <c r="I683" s="136"/>
      <c r="J683" s="136"/>
      <c r="K683" s="136"/>
      <c r="L683" s="136"/>
      <c r="M683" s="159"/>
      <c r="N683" s="84"/>
      <c r="O683" s="84"/>
      <c r="P683" s="84"/>
      <c r="Q683" s="84"/>
      <c r="R683" s="84"/>
      <c r="S683" s="159"/>
      <c r="T683" s="159"/>
      <c r="U683" s="159"/>
      <c r="V683" s="159"/>
      <c r="W683" s="159"/>
      <c r="X683" s="159"/>
      <c r="AA683" s="159"/>
    </row>
    <row r="684" spans="4:27" s="66" customFormat="1">
      <c r="D684" s="75"/>
      <c r="F684" s="158"/>
      <c r="G684" s="64"/>
      <c r="H684" s="30"/>
      <c r="I684" s="136"/>
      <c r="J684" s="136"/>
      <c r="K684" s="136"/>
      <c r="L684" s="136"/>
      <c r="M684" s="159"/>
      <c r="N684" s="84"/>
      <c r="O684" s="84"/>
      <c r="P684" s="84"/>
      <c r="Q684" s="84"/>
      <c r="R684" s="84"/>
      <c r="S684" s="159"/>
      <c r="T684" s="159"/>
      <c r="U684" s="159"/>
      <c r="V684" s="159"/>
      <c r="W684" s="159"/>
      <c r="X684" s="159"/>
      <c r="AA684" s="159"/>
    </row>
    <row r="685" spans="4:27" s="66" customFormat="1">
      <c r="D685" s="75"/>
      <c r="F685" s="158"/>
      <c r="G685" s="64"/>
      <c r="H685" s="30"/>
      <c r="I685" s="136"/>
      <c r="J685" s="136"/>
      <c r="K685" s="136"/>
      <c r="L685" s="136"/>
      <c r="M685" s="159"/>
      <c r="N685" s="84"/>
      <c r="O685" s="84"/>
      <c r="P685" s="84"/>
      <c r="Q685" s="84"/>
      <c r="R685" s="84"/>
      <c r="S685" s="159"/>
      <c r="T685" s="159"/>
      <c r="U685" s="159"/>
      <c r="V685" s="159"/>
      <c r="W685" s="159"/>
      <c r="X685" s="159"/>
      <c r="AA685" s="159"/>
    </row>
    <row r="686" spans="4:27" s="66" customFormat="1">
      <c r="D686" s="75"/>
      <c r="F686" s="158"/>
      <c r="G686" s="64"/>
      <c r="H686" s="30"/>
      <c r="I686" s="136"/>
      <c r="J686" s="136"/>
      <c r="K686" s="136"/>
      <c r="L686" s="136"/>
      <c r="M686" s="159"/>
      <c r="N686" s="84"/>
      <c r="O686" s="84"/>
      <c r="P686" s="84"/>
      <c r="Q686" s="84"/>
      <c r="R686" s="84"/>
      <c r="S686" s="159"/>
      <c r="T686" s="159"/>
      <c r="U686" s="159"/>
      <c r="V686" s="159"/>
      <c r="W686" s="159"/>
      <c r="X686" s="159"/>
      <c r="AA686" s="159"/>
    </row>
    <row r="687" spans="4:27" s="66" customFormat="1">
      <c r="D687" s="75"/>
      <c r="F687" s="158"/>
      <c r="G687" s="64"/>
      <c r="H687" s="30"/>
      <c r="I687" s="136"/>
      <c r="J687" s="136"/>
      <c r="K687" s="136"/>
      <c r="L687" s="136"/>
      <c r="M687" s="159"/>
      <c r="N687" s="84"/>
      <c r="O687" s="84"/>
      <c r="P687" s="84"/>
      <c r="Q687" s="84"/>
      <c r="R687" s="84"/>
      <c r="S687" s="159"/>
      <c r="T687" s="159"/>
      <c r="U687" s="159"/>
      <c r="V687" s="159"/>
      <c r="W687" s="159"/>
      <c r="X687" s="159"/>
      <c r="AA687" s="159"/>
    </row>
    <row r="688" spans="4:27" s="66" customFormat="1">
      <c r="D688" s="75"/>
      <c r="F688" s="158"/>
      <c r="G688" s="64"/>
      <c r="H688" s="30"/>
      <c r="I688" s="136"/>
      <c r="J688" s="136"/>
      <c r="K688" s="136"/>
      <c r="L688" s="136"/>
      <c r="M688" s="159"/>
      <c r="N688" s="84"/>
      <c r="O688" s="84"/>
      <c r="P688" s="84"/>
      <c r="Q688" s="84"/>
      <c r="R688" s="84"/>
      <c r="S688" s="159"/>
      <c r="T688" s="159"/>
      <c r="U688" s="159"/>
      <c r="V688" s="159"/>
      <c r="W688" s="159"/>
      <c r="X688" s="159"/>
      <c r="AA688" s="159"/>
    </row>
    <row r="689" spans="4:27" s="66" customFormat="1">
      <c r="D689" s="75"/>
      <c r="F689" s="158"/>
      <c r="G689" s="64"/>
      <c r="H689" s="30"/>
      <c r="I689" s="136"/>
      <c r="J689" s="136"/>
      <c r="K689" s="136"/>
      <c r="L689" s="136"/>
      <c r="M689" s="159"/>
      <c r="N689" s="84"/>
      <c r="O689" s="84"/>
      <c r="P689" s="84"/>
      <c r="Q689" s="84"/>
      <c r="R689" s="84"/>
      <c r="S689" s="159"/>
      <c r="T689" s="159"/>
      <c r="U689" s="159"/>
      <c r="V689" s="159"/>
      <c r="W689" s="159"/>
      <c r="X689" s="159"/>
      <c r="AA689" s="159"/>
    </row>
    <row r="690" spans="4:27" s="66" customFormat="1">
      <c r="D690" s="75"/>
      <c r="F690" s="158"/>
      <c r="G690" s="64"/>
      <c r="H690" s="30"/>
      <c r="I690" s="136"/>
      <c r="J690" s="136"/>
      <c r="K690" s="136"/>
      <c r="L690" s="136"/>
      <c r="M690" s="159"/>
      <c r="N690" s="84"/>
      <c r="O690" s="84"/>
      <c r="P690" s="84"/>
      <c r="Q690" s="84"/>
      <c r="R690" s="84"/>
      <c r="S690" s="159"/>
      <c r="T690" s="159"/>
      <c r="U690" s="159"/>
      <c r="V690" s="159"/>
      <c r="W690" s="159"/>
      <c r="X690" s="159"/>
      <c r="AA690" s="159"/>
    </row>
    <row r="691" spans="4:27" s="66" customFormat="1">
      <c r="D691" s="75"/>
      <c r="F691" s="158"/>
      <c r="G691" s="64"/>
      <c r="H691" s="30"/>
      <c r="I691" s="136"/>
      <c r="J691" s="136"/>
      <c r="K691" s="136"/>
      <c r="L691" s="136"/>
      <c r="M691" s="159"/>
      <c r="N691" s="84"/>
      <c r="O691" s="84"/>
      <c r="P691" s="84"/>
      <c r="Q691" s="84"/>
      <c r="R691" s="84"/>
      <c r="S691" s="159"/>
      <c r="T691" s="159"/>
      <c r="U691" s="159"/>
      <c r="V691" s="159"/>
      <c r="W691" s="159"/>
      <c r="X691" s="159"/>
      <c r="AA691" s="159"/>
    </row>
    <row r="692" spans="4:27" s="66" customFormat="1">
      <c r="D692" s="75"/>
      <c r="F692" s="158"/>
      <c r="G692" s="64"/>
      <c r="H692" s="30"/>
      <c r="I692" s="136"/>
      <c r="J692" s="136"/>
      <c r="K692" s="136"/>
      <c r="L692" s="136"/>
      <c r="M692" s="159"/>
      <c r="N692" s="84"/>
      <c r="O692" s="84"/>
      <c r="P692" s="84"/>
      <c r="Q692" s="84"/>
      <c r="R692" s="84"/>
      <c r="S692" s="159"/>
      <c r="T692" s="159"/>
      <c r="U692" s="159"/>
      <c r="V692" s="159"/>
      <c r="W692" s="159"/>
      <c r="X692" s="159"/>
      <c r="AA692" s="159"/>
    </row>
    <row r="693" spans="4:27" s="66" customFormat="1">
      <c r="D693" s="75"/>
      <c r="F693" s="158"/>
      <c r="G693" s="64"/>
      <c r="H693" s="30"/>
      <c r="I693" s="136"/>
      <c r="J693" s="136"/>
      <c r="K693" s="136"/>
      <c r="L693" s="136"/>
      <c r="M693" s="159"/>
      <c r="N693" s="84"/>
      <c r="O693" s="84"/>
      <c r="P693" s="84"/>
      <c r="Q693" s="84"/>
      <c r="R693" s="84"/>
      <c r="S693" s="159"/>
      <c r="T693" s="159"/>
      <c r="U693" s="159"/>
      <c r="V693" s="159"/>
      <c r="W693" s="159"/>
      <c r="X693" s="159"/>
      <c r="AA693" s="159"/>
    </row>
    <row r="694" spans="4:27" s="66" customFormat="1">
      <c r="D694" s="75"/>
      <c r="F694" s="158"/>
      <c r="G694" s="64"/>
      <c r="H694" s="30"/>
      <c r="I694" s="136"/>
      <c r="J694" s="136"/>
      <c r="K694" s="136"/>
      <c r="L694" s="136"/>
      <c r="M694" s="159"/>
      <c r="N694" s="84"/>
      <c r="O694" s="84"/>
      <c r="P694" s="84"/>
      <c r="Q694" s="84"/>
      <c r="R694" s="84"/>
      <c r="S694" s="159"/>
      <c r="T694" s="159"/>
      <c r="U694" s="159"/>
      <c r="V694" s="159"/>
      <c r="W694" s="159"/>
      <c r="X694" s="159"/>
      <c r="AA694" s="159"/>
    </row>
    <row r="695" spans="4:27" s="66" customFormat="1">
      <c r="D695" s="75"/>
      <c r="F695" s="158"/>
      <c r="G695" s="64"/>
      <c r="H695" s="30"/>
      <c r="I695" s="136"/>
      <c r="J695" s="136"/>
      <c r="K695" s="136"/>
      <c r="L695" s="136"/>
      <c r="M695" s="159"/>
      <c r="N695" s="84"/>
      <c r="O695" s="84"/>
      <c r="P695" s="84"/>
      <c r="Q695" s="84"/>
      <c r="R695" s="84"/>
      <c r="S695" s="159"/>
      <c r="T695" s="159"/>
      <c r="U695" s="159"/>
      <c r="V695" s="159"/>
      <c r="W695" s="159"/>
      <c r="X695" s="159"/>
      <c r="AA695" s="159"/>
    </row>
    <row r="696" spans="4:27" s="66" customFormat="1">
      <c r="D696" s="75"/>
      <c r="F696" s="158"/>
      <c r="G696" s="64"/>
      <c r="H696" s="30"/>
      <c r="I696" s="136"/>
      <c r="J696" s="136"/>
      <c r="K696" s="136"/>
      <c r="L696" s="136"/>
      <c r="M696" s="159"/>
      <c r="N696" s="84"/>
      <c r="O696" s="84"/>
      <c r="P696" s="84"/>
      <c r="Q696" s="84"/>
      <c r="R696" s="84"/>
      <c r="S696" s="159"/>
      <c r="T696" s="159"/>
      <c r="U696" s="159"/>
      <c r="V696" s="159"/>
      <c r="W696" s="159"/>
      <c r="X696" s="159"/>
      <c r="AA696" s="159"/>
    </row>
    <row r="697" spans="4:27" s="66" customFormat="1">
      <c r="D697" s="75"/>
      <c r="F697" s="158"/>
      <c r="G697" s="64"/>
      <c r="H697" s="30"/>
      <c r="I697" s="136"/>
      <c r="J697" s="136"/>
      <c r="K697" s="136"/>
      <c r="L697" s="136"/>
      <c r="M697" s="159"/>
      <c r="N697" s="84"/>
      <c r="O697" s="84"/>
      <c r="P697" s="84"/>
      <c r="Q697" s="84"/>
      <c r="R697" s="84"/>
      <c r="S697" s="159"/>
      <c r="T697" s="159"/>
      <c r="U697" s="159"/>
      <c r="V697" s="159"/>
      <c r="W697" s="159"/>
      <c r="X697" s="159"/>
      <c r="AA697" s="159"/>
    </row>
    <row r="698" spans="4:27" s="66" customFormat="1">
      <c r="D698" s="75"/>
      <c r="F698" s="158"/>
      <c r="G698" s="64"/>
      <c r="H698" s="30"/>
      <c r="I698" s="136"/>
      <c r="J698" s="136"/>
      <c r="K698" s="136"/>
      <c r="L698" s="136"/>
      <c r="M698" s="159"/>
      <c r="N698" s="84"/>
      <c r="O698" s="84"/>
      <c r="P698" s="84"/>
      <c r="Q698" s="84"/>
      <c r="R698" s="84"/>
      <c r="S698" s="159"/>
      <c r="T698" s="159"/>
      <c r="U698" s="159"/>
      <c r="V698" s="159"/>
      <c r="W698" s="159"/>
      <c r="X698" s="159"/>
      <c r="AA698" s="159"/>
    </row>
    <row r="699" spans="4:27" s="66" customFormat="1">
      <c r="D699" s="75"/>
      <c r="F699" s="158"/>
      <c r="G699" s="64"/>
      <c r="H699" s="30"/>
      <c r="I699" s="136"/>
      <c r="J699" s="136"/>
      <c r="K699" s="136"/>
      <c r="L699" s="136"/>
      <c r="M699" s="159"/>
      <c r="N699" s="84"/>
      <c r="O699" s="84"/>
      <c r="P699" s="84"/>
      <c r="Q699" s="84"/>
      <c r="R699" s="84"/>
      <c r="S699" s="159"/>
      <c r="T699" s="159"/>
      <c r="U699" s="159"/>
      <c r="V699" s="159"/>
      <c r="W699" s="159"/>
      <c r="X699" s="159"/>
      <c r="AA699" s="159"/>
    </row>
    <row r="700" spans="4:27" s="66" customFormat="1">
      <c r="D700" s="75"/>
      <c r="F700" s="158"/>
      <c r="G700" s="64"/>
      <c r="H700" s="30"/>
      <c r="I700" s="136"/>
      <c r="J700" s="136"/>
      <c r="K700" s="136"/>
      <c r="L700" s="136"/>
      <c r="M700" s="159"/>
      <c r="N700" s="84"/>
      <c r="O700" s="84"/>
      <c r="P700" s="84"/>
      <c r="Q700" s="84"/>
      <c r="R700" s="84"/>
      <c r="S700" s="159"/>
      <c r="T700" s="159"/>
      <c r="U700" s="159"/>
      <c r="V700" s="159"/>
      <c r="W700" s="159"/>
      <c r="X700" s="159"/>
      <c r="AA700" s="159"/>
    </row>
    <row r="701" spans="4:27" s="66" customFormat="1">
      <c r="D701" s="75"/>
      <c r="F701" s="158"/>
      <c r="G701" s="64"/>
      <c r="H701" s="30"/>
      <c r="I701" s="136"/>
      <c r="J701" s="136"/>
      <c r="K701" s="136"/>
      <c r="L701" s="136"/>
      <c r="M701" s="159"/>
      <c r="N701" s="84"/>
      <c r="O701" s="84"/>
      <c r="P701" s="84"/>
      <c r="Q701" s="84"/>
      <c r="R701" s="84"/>
      <c r="S701" s="159"/>
      <c r="T701" s="159"/>
      <c r="U701" s="159"/>
      <c r="V701" s="159"/>
      <c r="W701" s="159"/>
      <c r="X701" s="159"/>
      <c r="AA701" s="159"/>
    </row>
    <row r="702" spans="4:27" s="66" customFormat="1">
      <c r="D702" s="75"/>
      <c r="F702" s="158"/>
      <c r="G702" s="64"/>
      <c r="H702" s="30"/>
      <c r="I702" s="136"/>
      <c r="J702" s="136"/>
      <c r="K702" s="136"/>
      <c r="L702" s="136"/>
      <c r="M702" s="159"/>
      <c r="N702" s="84"/>
      <c r="O702" s="84"/>
      <c r="P702" s="84"/>
      <c r="Q702" s="84"/>
      <c r="R702" s="84"/>
      <c r="S702" s="159"/>
      <c r="T702" s="159"/>
      <c r="U702" s="159"/>
      <c r="V702" s="159"/>
      <c r="W702" s="159"/>
      <c r="X702" s="159"/>
      <c r="AA702" s="159"/>
    </row>
    <row r="703" spans="4:27" s="66" customFormat="1">
      <c r="D703" s="75"/>
      <c r="F703" s="158"/>
      <c r="G703" s="64"/>
      <c r="H703" s="30"/>
      <c r="I703" s="136"/>
      <c r="J703" s="136"/>
      <c r="K703" s="136"/>
      <c r="L703" s="136"/>
      <c r="M703" s="159"/>
      <c r="N703" s="84"/>
      <c r="O703" s="84"/>
      <c r="P703" s="84"/>
      <c r="Q703" s="84"/>
      <c r="R703" s="84"/>
      <c r="S703" s="159"/>
      <c r="T703" s="159"/>
      <c r="U703" s="159"/>
      <c r="V703" s="159"/>
      <c r="W703" s="159"/>
      <c r="X703" s="159"/>
      <c r="AA703" s="159"/>
    </row>
    <row r="704" spans="4:27" s="66" customFormat="1">
      <c r="D704" s="75"/>
      <c r="F704" s="158"/>
      <c r="G704" s="64"/>
      <c r="H704" s="30"/>
      <c r="I704" s="136"/>
      <c r="J704" s="136"/>
      <c r="K704" s="136"/>
      <c r="L704" s="136"/>
      <c r="M704" s="159"/>
      <c r="N704" s="84"/>
      <c r="O704" s="84"/>
      <c r="P704" s="84"/>
      <c r="Q704" s="84"/>
      <c r="R704" s="84"/>
      <c r="S704" s="159"/>
      <c r="T704" s="159"/>
      <c r="U704" s="159"/>
      <c r="V704" s="159"/>
      <c r="W704" s="159"/>
      <c r="X704" s="159"/>
      <c r="AA704" s="159"/>
    </row>
    <row r="705" spans="4:27" s="66" customFormat="1">
      <c r="D705" s="75"/>
      <c r="F705" s="158"/>
      <c r="G705" s="64"/>
      <c r="H705" s="30"/>
      <c r="I705" s="136"/>
      <c r="J705" s="136"/>
      <c r="K705" s="136"/>
      <c r="L705" s="136"/>
      <c r="M705" s="159"/>
      <c r="N705" s="84"/>
      <c r="O705" s="84"/>
      <c r="P705" s="84"/>
      <c r="Q705" s="84"/>
      <c r="R705" s="84"/>
      <c r="S705" s="159"/>
      <c r="T705" s="159"/>
      <c r="U705" s="159"/>
      <c r="V705" s="159"/>
      <c r="W705" s="159"/>
      <c r="X705" s="159"/>
      <c r="AA705" s="159"/>
    </row>
    <row r="706" spans="4:27" s="66" customFormat="1">
      <c r="D706" s="75"/>
      <c r="F706" s="158"/>
      <c r="G706" s="64"/>
      <c r="H706" s="30"/>
      <c r="I706" s="136"/>
      <c r="J706" s="136"/>
      <c r="K706" s="136"/>
      <c r="L706" s="136"/>
      <c r="M706" s="159"/>
      <c r="N706" s="84"/>
      <c r="O706" s="84"/>
      <c r="P706" s="84"/>
      <c r="Q706" s="84"/>
      <c r="R706" s="84"/>
      <c r="S706" s="159"/>
      <c r="T706" s="159"/>
      <c r="U706" s="159"/>
      <c r="V706" s="159"/>
      <c r="W706" s="159"/>
      <c r="X706" s="159"/>
      <c r="AA706" s="159"/>
    </row>
    <row r="707" spans="4:27" s="66" customFormat="1">
      <c r="D707" s="75"/>
      <c r="F707" s="158"/>
      <c r="G707" s="64"/>
      <c r="H707" s="30"/>
      <c r="I707" s="136"/>
      <c r="J707" s="136"/>
      <c r="K707" s="136"/>
      <c r="L707" s="136"/>
      <c r="M707" s="159"/>
      <c r="N707" s="84"/>
      <c r="O707" s="84"/>
      <c r="P707" s="84"/>
      <c r="Q707" s="84"/>
      <c r="R707" s="84"/>
      <c r="S707" s="159"/>
      <c r="T707" s="159"/>
      <c r="U707" s="159"/>
      <c r="V707" s="159"/>
      <c r="W707" s="159"/>
      <c r="X707" s="159"/>
      <c r="AA707" s="159"/>
    </row>
    <row r="708" spans="4:27" s="66" customFormat="1">
      <c r="D708" s="75"/>
      <c r="F708" s="158"/>
      <c r="G708" s="64"/>
      <c r="H708" s="30"/>
      <c r="I708" s="136"/>
      <c r="J708" s="136"/>
      <c r="K708" s="136"/>
      <c r="L708" s="136"/>
      <c r="M708" s="159"/>
      <c r="N708" s="84"/>
      <c r="O708" s="84"/>
      <c r="P708" s="84"/>
      <c r="Q708" s="84"/>
      <c r="R708" s="84"/>
      <c r="S708" s="159"/>
      <c r="T708" s="159"/>
      <c r="U708" s="159"/>
      <c r="V708" s="159"/>
      <c r="W708" s="159"/>
      <c r="X708" s="159"/>
      <c r="AA708" s="159"/>
    </row>
    <row r="709" spans="4:27" s="66" customFormat="1">
      <c r="D709" s="75"/>
      <c r="F709" s="158"/>
      <c r="G709" s="64"/>
      <c r="H709" s="30"/>
      <c r="I709" s="136"/>
      <c r="J709" s="136"/>
      <c r="K709" s="136"/>
      <c r="L709" s="136"/>
      <c r="M709" s="159"/>
      <c r="N709" s="84"/>
      <c r="O709" s="84"/>
      <c r="P709" s="84"/>
      <c r="Q709" s="84"/>
      <c r="R709" s="84"/>
      <c r="S709" s="159"/>
      <c r="T709" s="159"/>
      <c r="U709" s="159"/>
      <c r="V709" s="159"/>
      <c r="W709" s="159"/>
      <c r="X709" s="159"/>
      <c r="AA709" s="159"/>
    </row>
    <row r="710" spans="4:27" s="66" customFormat="1">
      <c r="D710" s="75"/>
      <c r="F710" s="158"/>
      <c r="G710" s="64"/>
      <c r="H710" s="30"/>
      <c r="I710" s="136"/>
      <c r="J710" s="136"/>
      <c r="K710" s="136"/>
      <c r="L710" s="136"/>
      <c r="M710" s="159"/>
      <c r="N710" s="84"/>
      <c r="O710" s="84"/>
      <c r="P710" s="84"/>
      <c r="Q710" s="84"/>
      <c r="R710" s="84"/>
      <c r="S710" s="159"/>
      <c r="T710" s="159"/>
      <c r="U710" s="159"/>
      <c r="V710" s="159"/>
      <c r="W710" s="159"/>
      <c r="X710" s="159"/>
      <c r="AA710" s="159"/>
    </row>
    <row r="711" spans="4:27" s="66" customFormat="1">
      <c r="D711" s="75"/>
      <c r="F711" s="158"/>
      <c r="G711" s="64"/>
      <c r="H711" s="30"/>
      <c r="I711" s="136"/>
      <c r="J711" s="136"/>
      <c r="K711" s="136"/>
      <c r="L711" s="136"/>
      <c r="M711" s="159"/>
      <c r="N711" s="84"/>
      <c r="O711" s="84"/>
      <c r="P711" s="84"/>
      <c r="Q711" s="84"/>
      <c r="R711" s="84"/>
      <c r="S711" s="159"/>
      <c r="T711" s="159"/>
      <c r="U711" s="159"/>
      <c r="V711" s="159"/>
      <c r="W711" s="159"/>
      <c r="X711" s="159"/>
      <c r="AA711" s="159"/>
    </row>
    <row r="712" spans="4:27" s="66" customFormat="1">
      <c r="D712" s="75"/>
      <c r="F712" s="158"/>
      <c r="G712" s="64"/>
      <c r="H712" s="30"/>
      <c r="I712" s="136"/>
      <c r="J712" s="136"/>
      <c r="K712" s="136"/>
      <c r="L712" s="136"/>
      <c r="M712" s="159"/>
      <c r="N712" s="84"/>
      <c r="O712" s="84"/>
      <c r="P712" s="84"/>
      <c r="Q712" s="84"/>
      <c r="R712" s="84"/>
      <c r="S712" s="159"/>
      <c r="T712" s="159"/>
      <c r="U712" s="159"/>
      <c r="V712" s="159"/>
      <c r="W712" s="159"/>
      <c r="X712" s="159"/>
      <c r="AA712" s="159"/>
    </row>
    <row r="713" spans="4:27" s="66" customFormat="1">
      <c r="D713" s="75"/>
      <c r="F713" s="158"/>
      <c r="G713" s="64"/>
      <c r="H713" s="30"/>
      <c r="I713" s="136"/>
      <c r="J713" s="136"/>
      <c r="K713" s="136"/>
      <c r="L713" s="136"/>
      <c r="M713" s="159"/>
      <c r="N713" s="84"/>
      <c r="O713" s="84"/>
      <c r="P713" s="84"/>
      <c r="Q713" s="84"/>
      <c r="R713" s="84"/>
      <c r="S713" s="159"/>
      <c r="T713" s="159"/>
      <c r="U713" s="159"/>
      <c r="V713" s="159"/>
      <c r="W713" s="159"/>
      <c r="X713" s="159"/>
      <c r="AA713" s="159"/>
    </row>
    <row r="714" spans="4:27" s="66" customFormat="1">
      <c r="D714" s="75"/>
      <c r="F714" s="158"/>
      <c r="G714" s="64"/>
      <c r="H714" s="30"/>
      <c r="I714" s="136"/>
      <c r="J714" s="136"/>
      <c r="K714" s="136"/>
      <c r="L714" s="136"/>
      <c r="M714" s="159"/>
      <c r="N714" s="84"/>
      <c r="O714" s="84"/>
      <c r="P714" s="84"/>
      <c r="Q714" s="84"/>
      <c r="R714" s="84"/>
      <c r="S714" s="159"/>
      <c r="T714" s="159"/>
      <c r="U714" s="159"/>
      <c r="V714" s="159"/>
      <c r="W714" s="159"/>
      <c r="X714" s="159"/>
      <c r="AA714" s="159"/>
    </row>
    <row r="715" spans="4:27" s="66" customFormat="1">
      <c r="D715" s="75"/>
      <c r="F715" s="158"/>
      <c r="G715" s="64"/>
      <c r="H715" s="30"/>
      <c r="I715" s="136"/>
      <c r="J715" s="136"/>
      <c r="K715" s="136"/>
      <c r="L715" s="136"/>
      <c r="M715" s="159"/>
      <c r="N715" s="84"/>
      <c r="O715" s="84"/>
      <c r="P715" s="84"/>
      <c r="Q715" s="84"/>
      <c r="R715" s="84"/>
      <c r="S715" s="159"/>
      <c r="T715" s="159"/>
      <c r="U715" s="159"/>
      <c r="V715" s="159"/>
      <c r="W715" s="159"/>
      <c r="X715" s="159"/>
      <c r="AA715" s="159"/>
    </row>
    <row r="716" spans="4:27" s="66" customFormat="1">
      <c r="D716" s="75"/>
      <c r="F716" s="158"/>
      <c r="G716" s="64"/>
      <c r="H716" s="30"/>
      <c r="I716" s="136"/>
      <c r="J716" s="136"/>
      <c r="K716" s="136"/>
      <c r="L716" s="136"/>
      <c r="M716" s="159"/>
      <c r="N716" s="84"/>
      <c r="O716" s="84"/>
      <c r="P716" s="84"/>
      <c r="Q716" s="84"/>
      <c r="R716" s="84"/>
      <c r="S716" s="159"/>
      <c r="T716" s="159"/>
      <c r="U716" s="159"/>
      <c r="V716" s="159"/>
      <c r="W716" s="159"/>
      <c r="X716" s="159"/>
      <c r="AA716" s="159"/>
    </row>
    <row r="717" spans="4:27" s="66" customFormat="1">
      <c r="D717" s="75"/>
      <c r="F717" s="158"/>
      <c r="G717" s="64"/>
      <c r="H717" s="30"/>
      <c r="I717" s="136"/>
      <c r="J717" s="136"/>
      <c r="K717" s="136"/>
      <c r="L717" s="136"/>
      <c r="M717" s="159"/>
      <c r="N717" s="84"/>
      <c r="O717" s="84"/>
      <c r="P717" s="84"/>
      <c r="Q717" s="84"/>
      <c r="R717" s="84"/>
      <c r="S717" s="159"/>
      <c r="T717" s="159"/>
      <c r="U717" s="159"/>
      <c r="V717" s="159"/>
      <c r="W717" s="159"/>
      <c r="X717" s="159"/>
      <c r="AA717" s="159"/>
    </row>
    <row r="718" spans="4:27" s="66" customFormat="1">
      <c r="D718" s="75"/>
      <c r="F718" s="158"/>
      <c r="G718" s="64"/>
      <c r="H718" s="30"/>
      <c r="I718" s="136"/>
      <c r="J718" s="136"/>
      <c r="K718" s="136"/>
      <c r="L718" s="136"/>
      <c r="M718" s="159"/>
      <c r="N718" s="84"/>
      <c r="O718" s="84"/>
      <c r="P718" s="84"/>
      <c r="Q718" s="84"/>
      <c r="R718" s="84"/>
      <c r="S718" s="159"/>
      <c r="T718" s="159"/>
      <c r="U718" s="159"/>
      <c r="V718" s="159"/>
      <c r="W718" s="159"/>
      <c r="X718" s="159"/>
      <c r="AA718" s="159"/>
    </row>
    <row r="719" spans="4:27" s="66" customFormat="1">
      <c r="D719" s="75"/>
      <c r="F719" s="158"/>
      <c r="G719" s="64"/>
      <c r="H719" s="30"/>
      <c r="I719" s="136"/>
      <c r="J719" s="136"/>
      <c r="K719" s="136"/>
      <c r="L719" s="136"/>
      <c r="M719" s="159"/>
      <c r="N719" s="84"/>
      <c r="O719" s="84"/>
      <c r="P719" s="84"/>
      <c r="Q719" s="84"/>
      <c r="R719" s="84"/>
      <c r="S719" s="159"/>
      <c r="T719" s="159"/>
      <c r="U719" s="159"/>
      <c r="V719" s="159"/>
      <c r="W719" s="159"/>
      <c r="X719" s="159"/>
      <c r="AA719" s="159"/>
    </row>
    <row r="720" spans="4:27" s="66" customFormat="1">
      <c r="D720" s="75"/>
      <c r="F720" s="158"/>
      <c r="G720" s="64"/>
      <c r="H720" s="30"/>
      <c r="I720" s="136"/>
      <c r="J720" s="136"/>
      <c r="K720" s="136"/>
      <c r="L720" s="136"/>
      <c r="M720" s="159"/>
      <c r="N720" s="84"/>
      <c r="O720" s="84"/>
      <c r="P720" s="84"/>
      <c r="Q720" s="84"/>
      <c r="R720" s="84"/>
      <c r="S720" s="159"/>
      <c r="T720" s="159"/>
      <c r="U720" s="159"/>
      <c r="V720" s="159"/>
      <c r="W720" s="159"/>
      <c r="X720" s="159"/>
      <c r="AA720" s="159"/>
    </row>
    <row r="721" spans="4:27" s="66" customFormat="1">
      <c r="D721" s="75"/>
      <c r="F721" s="158"/>
      <c r="G721" s="64"/>
      <c r="H721" s="30"/>
      <c r="I721" s="136"/>
      <c r="J721" s="136"/>
      <c r="K721" s="136"/>
      <c r="L721" s="136"/>
      <c r="M721" s="159"/>
      <c r="N721" s="84"/>
      <c r="O721" s="84"/>
      <c r="P721" s="84"/>
      <c r="Q721" s="84"/>
      <c r="R721" s="84"/>
      <c r="S721" s="159"/>
      <c r="T721" s="159"/>
      <c r="U721" s="159"/>
      <c r="V721" s="159"/>
      <c r="W721" s="159"/>
      <c r="X721" s="159"/>
      <c r="AA721" s="159"/>
    </row>
    <row r="722" spans="4:27" s="66" customFormat="1">
      <c r="D722" s="75"/>
      <c r="F722" s="158"/>
      <c r="G722" s="64"/>
      <c r="H722" s="30"/>
      <c r="I722" s="136"/>
      <c r="J722" s="136"/>
      <c r="K722" s="136"/>
      <c r="L722" s="136"/>
      <c r="M722" s="159"/>
      <c r="N722" s="84"/>
      <c r="O722" s="84"/>
      <c r="P722" s="84"/>
      <c r="Q722" s="84"/>
      <c r="R722" s="84"/>
      <c r="S722" s="159"/>
      <c r="T722" s="159"/>
      <c r="U722" s="159"/>
      <c r="V722" s="159"/>
      <c r="W722" s="159"/>
      <c r="X722" s="159"/>
      <c r="AA722" s="159"/>
    </row>
    <row r="723" spans="4:27" s="66" customFormat="1">
      <c r="D723" s="75"/>
      <c r="F723" s="158"/>
      <c r="G723" s="64"/>
      <c r="H723" s="30"/>
      <c r="I723" s="136"/>
      <c r="J723" s="136"/>
      <c r="K723" s="136"/>
      <c r="L723" s="136"/>
      <c r="M723" s="159"/>
      <c r="N723" s="84"/>
      <c r="O723" s="84"/>
      <c r="P723" s="84"/>
      <c r="Q723" s="84"/>
      <c r="R723" s="84"/>
      <c r="S723" s="159"/>
      <c r="T723" s="159"/>
      <c r="U723" s="159"/>
      <c r="V723" s="159"/>
      <c r="W723" s="159"/>
      <c r="X723" s="159"/>
      <c r="AA723" s="159"/>
    </row>
    <row r="724" spans="4:27" s="66" customFormat="1">
      <c r="D724" s="75"/>
      <c r="F724" s="158"/>
      <c r="G724" s="64"/>
      <c r="H724" s="30"/>
      <c r="I724" s="136"/>
      <c r="J724" s="136"/>
      <c r="K724" s="136"/>
      <c r="L724" s="136"/>
      <c r="M724" s="159"/>
      <c r="N724" s="84"/>
      <c r="O724" s="84"/>
      <c r="P724" s="84"/>
      <c r="Q724" s="84"/>
      <c r="R724" s="84"/>
      <c r="S724" s="159"/>
      <c r="T724" s="159"/>
      <c r="U724" s="159"/>
      <c r="V724" s="159"/>
      <c r="W724" s="159"/>
      <c r="X724" s="159"/>
      <c r="AA724" s="159"/>
    </row>
    <row r="725" spans="4:27" s="66" customFormat="1">
      <c r="D725" s="75"/>
      <c r="F725" s="158"/>
      <c r="G725" s="64"/>
      <c r="H725" s="30"/>
      <c r="I725" s="136"/>
      <c r="J725" s="136"/>
      <c r="K725" s="136"/>
      <c r="L725" s="136"/>
      <c r="M725" s="159"/>
      <c r="N725" s="84"/>
      <c r="O725" s="84"/>
      <c r="P725" s="84"/>
      <c r="Q725" s="84"/>
      <c r="R725" s="84"/>
      <c r="S725" s="159"/>
      <c r="T725" s="159"/>
      <c r="U725" s="159"/>
      <c r="V725" s="159"/>
      <c r="W725" s="159"/>
      <c r="X725" s="159"/>
      <c r="AA725" s="159"/>
    </row>
    <row r="726" spans="4:27" s="66" customFormat="1">
      <c r="D726" s="75"/>
      <c r="F726" s="158"/>
      <c r="G726" s="64"/>
      <c r="H726" s="30"/>
      <c r="I726" s="136"/>
      <c r="J726" s="136"/>
      <c r="K726" s="136"/>
      <c r="L726" s="136"/>
      <c r="M726" s="159"/>
      <c r="N726" s="84"/>
      <c r="O726" s="84"/>
      <c r="P726" s="84"/>
      <c r="Q726" s="84"/>
      <c r="R726" s="84"/>
      <c r="S726" s="159"/>
      <c r="T726" s="159"/>
      <c r="U726" s="159"/>
      <c r="V726" s="159"/>
      <c r="W726" s="159"/>
      <c r="X726" s="159"/>
      <c r="AA726" s="159"/>
    </row>
    <row r="727" spans="4:27" s="66" customFormat="1">
      <c r="D727" s="75"/>
      <c r="F727" s="158"/>
      <c r="G727" s="64"/>
      <c r="H727" s="30"/>
      <c r="I727" s="136"/>
      <c r="J727" s="136"/>
      <c r="K727" s="136"/>
      <c r="L727" s="136"/>
      <c r="M727" s="159"/>
      <c r="N727" s="84"/>
      <c r="O727" s="84"/>
      <c r="P727" s="84"/>
      <c r="Q727" s="84"/>
      <c r="R727" s="84"/>
      <c r="S727" s="159"/>
      <c r="T727" s="159"/>
      <c r="U727" s="159"/>
      <c r="V727" s="159"/>
      <c r="W727" s="159"/>
      <c r="X727" s="159"/>
      <c r="AA727" s="159"/>
    </row>
    <row r="728" spans="4:27" s="66" customFormat="1">
      <c r="D728" s="75"/>
      <c r="F728" s="158"/>
      <c r="G728" s="64"/>
      <c r="H728" s="30"/>
      <c r="I728" s="136"/>
      <c r="J728" s="136"/>
      <c r="K728" s="136"/>
      <c r="L728" s="136"/>
      <c r="M728" s="159"/>
      <c r="N728" s="84"/>
      <c r="O728" s="84"/>
      <c r="P728" s="84"/>
      <c r="Q728" s="84"/>
      <c r="R728" s="84"/>
      <c r="S728" s="159"/>
      <c r="T728" s="159"/>
      <c r="U728" s="159"/>
      <c r="V728" s="159"/>
      <c r="W728" s="159"/>
      <c r="X728" s="159"/>
      <c r="AA728" s="159"/>
    </row>
    <row r="729" spans="4:27" s="66" customFormat="1">
      <c r="D729" s="75"/>
      <c r="F729" s="158"/>
      <c r="G729" s="64"/>
      <c r="H729" s="30"/>
      <c r="I729" s="136"/>
      <c r="J729" s="136"/>
      <c r="K729" s="136"/>
      <c r="L729" s="136"/>
      <c r="M729" s="159"/>
      <c r="N729" s="84"/>
      <c r="O729" s="84"/>
      <c r="P729" s="84"/>
      <c r="Q729" s="84"/>
      <c r="R729" s="84"/>
      <c r="S729" s="159"/>
      <c r="T729" s="159"/>
      <c r="U729" s="159"/>
      <c r="V729" s="159"/>
      <c r="W729" s="159"/>
      <c r="X729" s="159"/>
      <c r="AA729" s="159"/>
    </row>
    <row r="730" spans="4:27" s="66" customFormat="1">
      <c r="D730" s="75"/>
      <c r="F730" s="158"/>
      <c r="G730" s="64"/>
      <c r="H730" s="30"/>
      <c r="I730" s="136"/>
      <c r="J730" s="136"/>
      <c r="K730" s="136"/>
      <c r="L730" s="136"/>
      <c r="M730" s="159"/>
      <c r="N730" s="84"/>
      <c r="O730" s="84"/>
      <c r="P730" s="84"/>
      <c r="Q730" s="84"/>
      <c r="R730" s="84"/>
      <c r="S730" s="159"/>
      <c r="T730" s="159"/>
      <c r="U730" s="159"/>
      <c r="V730" s="159"/>
      <c r="W730" s="159"/>
      <c r="X730" s="159"/>
      <c r="AA730" s="159"/>
    </row>
    <row r="731" spans="4:27" s="66" customFormat="1">
      <c r="D731" s="75"/>
      <c r="F731" s="158"/>
      <c r="G731" s="64"/>
      <c r="H731" s="30"/>
      <c r="I731" s="136"/>
      <c r="J731" s="136"/>
      <c r="K731" s="136"/>
      <c r="L731" s="136"/>
      <c r="M731" s="159"/>
      <c r="N731" s="84"/>
      <c r="O731" s="84"/>
      <c r="P731" s="84"/>
      <c r="Q731" s="84"/>
      <c r="R731" s="84"/>
      <c r="S731" s="159"/>
      <c r="T731" s="159"/>
      <c r="U731" s="159"/>
      <c r="V731" s="159"/>
      <c r="W731" s="159"/>
      <c r="X731" s="159"/>
      <c r="AA731" s="159"/>
    </row>
    <row r="732" spans="4:27" s="66" customFormat="1">
      <c r="D732" s="75"/>
      <c r="F732" s="158"/>
      <c r="G732" s="64"/>
      <c r="H732" s="30"/>
      <c r="I732" s="136"/>
      <c r="J732" s="136"/>
      <c r="K732" s="136"/>
      <c r="L732" s="136"/>
      <c r="M732" s="159"/>
      <c r="N732" s="84"/>
      <c r="O732" s="84"/>
      <c r="P732" s="84"/>
      <c r="Q732" s="84"/>
      <c r="R732" s="84"/>
      <c r="S732" s="159"/>
      <c r="T732" s="159"/>
      <c r="U732" s="159"/>
      <c r="V732" s="159"/>
      <c r="W732" s="159"/>
      <c r="X732" s="159"/>
      <c r="AA732" s="159"/>
    </row>
    <row r="733" spans="4:27" s="66" customFormat="1">
      <c r="D733" s="75"/>
      <c r="F733" s="158"/>
      <c r="G733" s="64"/>
      <c r="H733" s="30"/>
      <c r="I733" s="136"/>
      <c r="J733" s="136"/>
      <c r="K733" s="136"/>
      <c r="L733" s="136"/>
      <c r="M733" s="159"/>
      <c r="N733" s="84"/>
      <c r="O733" s="84"/>
      <c r="P733" s="84"/>
      <c r="Q733" s="84"/>
      <c r="R733" s="84"/>
      <c r="S733" s="159"/>
      <c r="T733" s="159"/>
      <c r="U733" s="159"/>
      <c r="V733" s="159"/>
      <c r="W733" s="159"/>
      <c r="X733" s="159"/>
      <c r="AA733" s="159"/>
    </row>
    <row r="734" spans="4:27" s="66" customFormat="1">
      <c r="D734" s="75"/>
      <c r="F734" s="158"/>
      <c r="G734" s="64"/>
      <c r="H734" s="30"/>
      <c r="I734" s="136"/>
      <c r="J734" s="136"/>
      <c r="K734" s="136"/>
      <c r="L734" s="136"/>
      <c r="M734" s="159"/>
      <c r="N734" s="84"/>
      <c r="O734" s="84"/>
      <c r="P734" s="84"/>
      <c r="Q734" s="84"/>
      <c r="R734" s="84"/>
      <c r="S734" s="159"/>
      <c r="T734" s="159"/>
      <c r="U734" s="159"/>
      <c r="V734" s="159"/>
      <c r="W734" s="159"/>
      <c r="X734" s="159"/>
      <c r="AA734" s="159"/>
    </row>
    <row r="735" spans="4:27" s="66" customFormat="1">
      <c r="D735" s="75"/>
      <c r="F735" s="158"/>
      <c r="G735" s="64"/>
      <c r="H735" s="30"/>
      <c r="I735" s="136"/>
      <c r="J735" s="136"/>
      <c r="K735" s="136"/>
      <c r="L735" s="136"/>
      <c r="M735" s="159"/>
      <c r="N735" s="84"/>
      <c r="O735" s="84"/>
      <c r="P735" s="84"/>
      <c r="Q735" s="84"/>
      <c r="R735" s="84"/>
      <c r="S735" s="159"/>
      <c r="T735" s="159"/>
      <c r="U735" s="159"/>
      <c r="V735" s="159"/>
      <c r="W735" s="159"/>
      <c r="X735" s="159"/>
      <c r="AA735" s="159"/>
    </row>
    <row r="736" spans="4:27" s="66" customFormat="1">
      <c r="D736" s="75"/>
      <c r="F736" s="158"/>
      <c r="G736" s="64"/>
      <c r="H736" s="30"/>
      <c r="I736" s="136"/>
      <c r="J736" s="136"/>
      <c r="K736" s="136"/>
      <c r="L736" s="136"/>
      <c r="M736" s="159"/>
      <c r="N736" s="84"/>
      <c r="O736" s="84"/>
      <c r="P736" s="84"/>
      <c r="Q736" s="84"/>
      <c r="R736" s="84"/>
      <c r="S736" s="159"/>
      <c r="T736" s="159"/>
      <c r="U736" s="159"/>
      <c r="V736" s="159"/>
      <c r="W736" s="159"/>
      <c r="X736" s="159"/>
      <c r="AA736" s="159"/>
    </row>
    <row r="737" spans="4:27" s="66" customFormat="1">
      <c r="D737" s="75"/>
      <c r="F737" s="158"/>
      <c r="G737" s="64"/>
      <c r="H737" s="30"/>
      <c r="I737" s="136"/>
      <c r="J737" s="136"/>
      <c r="K737" s="136"/>
      <c r="L737" s="136"/>
      <c r="M737" s="159"/>
      <c r="N737" s="84"/>
      <c r="O737" s="84"/>
      <c r="P737" s="84"/>
      <c r="Q737" s="84"/>
      <c r="R737" s="84"/>
      <c r="S737" s="159"/>
      <c r="T737" s="159"/>
      <c r="U737" s="159"/>
      <c r="V737" s="159"/>
      <c r="W737" s="159"/>
      <c r="X737" s="159"/>
      <c r="AA737" s="159"/>
    </row>
    <row r="738" spans="4:27" s="66" customFormat="1">
      <c r="D738" s="75"/>
      <c r="F738" s="158"/>
      <c r="G738" s="64"/>
      <c r="H738" s="30"/>
      <c r="I738" s="136"/>
      <c r="J738" s="136"/>
      <c r="K738" s="136"/>
      <c r="L738" s="136"/>
      <c r="M738" s="159"/>
      <c r="N738" s="84"/>
      <c r="O738" s="84"/>
      <c r="P738" s="84"/>
      <c r="Q738" s="84"/>
      <c r="R738" s="84"/>
      <c r="S738" s="159"/>
      <c r="T738" s="159"/>
      <c r="U738" s="159"/>
      <c r="V738" s="159"/>
      <c r="W738" s="159"/>
      <c r="X738" s="159"/>
      <c r="AA738" s="159"/>
    </row>
    <row r="739" spans="4:27" s="66" customFormat="1">
      <c r="D739" s="75"/>
      <c r="F739" s="158"/>
      <c r="G739" s="64"/>
      <c r="H739" s="30"/>
      <c r="I739" s="136"/>
      <c r="J739" s="136"/>
      <c r="K739" s="136"/>
      <c r="L739" s="136"/>
      <c r="M739" s="159"/>
      <c r="N739" s="84"/>
      <c r="O739" s="84"/>
      <c r="P739" s="84"/>
      <c r="Q739" s="84"/>
      <c r="R739" s="84"/>
      <c r="S739" s="159"/>
      <c r="T739" s="159"/>
      <c r="U739" s="159"/>
      <c r="V739" s="159"/>
      <c r="W739" s="159"/>
      <c r="X739" s="159"/>
      <c r="AA739" s="159"/>
    </row>
    <row r="740" spans="4:27" s="66" customFormat="1">
      <c r="D740" s="75"/>
      <c r="F740" s="158"/>
      <c r="G740" s="64"/>
      <c r="H740" s="30"/>
      <c r="I740" s="136"/>
      <c r="J740" s="136"/>
      <c r="K740" s="136"/>
      <c r="L740" s="136"/>
      <c r="M740" s="159"/>
      <c r="N740" s="84"/>
      <c r="O740" s="84"/>
      <c r="P740" s="84"/>
      <c r="Q740" s="84"/>
      <c r="R740" s="84"/>
      <c r="S740" s="159"/>
      <c r="T740" s="159"/>
      <c r="U740" s="159"/>
      <c r="V740" s="159"/>
      <c r="W740" s="159"/>
      <c r="X740" s="159"/>
      <c r="AA740" s="159"/>
    </row>
    <row r="741" spans="4:27" s="66" customFormat="1">
      <c r="D741" s="75"/>
      <c r="F741" s="158"/>
      <c r="G741" s="64"/>
      <c r="H741" s="30"/>
      <c r="I741" s="136"/>
      <c r="J741" s="136"/>
      <c r="K741" s="136"/>
      <c r="L741" s="136"/>
      <c r="M741" s="159"/>
      <c r="N741" s="84"/>
      <c r="O741" s="84"/>
      <c r="P741" s="84"/>
      <c r="Q741" s="84"/>
      <c r="R741" s="84"/>
      <c r="S741" s="159"/>
      <c r="T741" s="159"/>
      <c r="U741" s="159"/>
      <c r="V741" s="159"/>
      <c r="W741" s="159"/>
      <c r="X741" s="159"/>
      <c r="AA741" s="159"/>
    </row>
    <row r="742" spans="4:27" s="66" customFormat="1">
      <c r="D742" s="75"/>
      <c r="F742" s="158"/>
      <c r="G742" s="64"/>
      <c r="H742" s="30"/>
      <c r="I742" s="136"/>
      <c r="J742" s="136"/>
      <c r="K742" s="136"/>
      <c r="L742" s="136"/>
      <c r="M742" s="159"/>
      <c r="N742" s="84"/>
      <c r="O742" s="84"/>
      <c r="P742" s="84"/>
      <c r="Q742" s="84"/>
      <c r="R742" s="84"/>
      <c r="S742" s="159"/>
      <c r="T742" s="159"/>
      <c r="U742" s="159"/>
      <c r="V742" s="159"/>
      <c r="W742" s="159"/>
      <c r="X742" s="159"/>
      <c r="AA742" s="159"/>
    </row>
    <row r="743" spans="4:27" s="66" customFormat="1">
      <c r="D743" s="75"/>
      <c r="F743" s="158"/>
      <c r="G743" s="64"/>
      <c r="H743" s="30"/>
      <c r="I743" s="136"/>
      <c r="J743" s="136"/>
      <c r="K743" s="136"/>
      <c r="L743" s="136"/>
      <c r="M743" s="159"/>
      <c r="N743" s="84"/>
      <c r="O743" s="84"/>
      <c r="P743" s="84"/>
      <c r="Q743" s="84"/>
      <c r="R743" s="84"/>
      <c r="S743" s="159"/>
      <c r="T743" s="159"/>
      <c r="U743" s="159"/>
      <c r="V743" s="159"/>
      <c r="W743" s="159"/>
      <c r="X743" s="159"/>
      <c r="AA743" s="159"/>
    </row>
    <row r="744" spans="4:27" s="66" customFormat="1">
      <c r="D744" s="75"/>
      <c r="F744" s="158"/>
      <c r="G744" s="64"/>
      <c r="H744" s="30"/>
      <c r="I744" s="136"/>
      <c r="J744" s="136"/>
      <c r="K744" s="136"/>
      <c r="L744" s="136"/>
      <c r="M744" s="159"/>
      <c r="N744" s="84"/>
      <c r="O744" s="84"/>
      <c r="P744" s="84"/>
      <c r="Q744" s="84"/>
      <c r="R744" s="84"/>
      <c r="S744" s="159"/>
      <c r="T744" s="159"/>
      <c r="U744" s="159"/>
      <c r="V744" s="159"/>
      <c r="W744" s="159"/>
      <c r="X744" s="159"/>
      <c r="AA744" s="159"/>
    </row>
    <row r="745" spans="4:27" s="66" customFormat="1">
      <c r="D745" s="75"/>
      <c r="F745" s="158"/>
      <c r="G745" s="64"/>
      <c r="H745" s="30"/>
      <c r="I745" s="136"/>
      <c r="J745" s="136"/>
      <c r="K745" s="136"/>
      <c r="L745" s="136"/>
      <c r="M745" s="159"/>
      <c r="N745" s="84"/>
      <c r="O745" s="84"/>
      <c r="P745" s="84"/>
      <c r="Q745" s="84"/>
      <c r="R745" s="84"/>
      <c r="S745" s="159"/>
      <c r="T745" s="159"/>
      <c r="U745" s="159"/>
      <c r="V745" s="159"/>
      <c r="W745" s="159"/>
      <c r="X745" s="159"/>
      <c r="AA745" s="159"/>
    </row>
    <row r="746" spans="4:27" s="66" customFormat="1">
      <c r="D746" s="75"/>
      <c r="F746" s="158"/>
      <c r="G746" s="64"/>
      <c r="H746" s="30"/>
      <c r="I746" s="136"/>
      <c r="J746" s="136"/>
      <c r="K746" s="136"/>
      <c r="L746" s="136"/>
      <c r="M746" s="159"/>
      <c r="N746" s="84"/>
      <c r="O746" s="84"/>
      <c r="P746" s="84"/>
      <c r="Q746" s="84"/>
      <c r="R746" s="84"/>
      <c r="S746" s="159"/>
      <c r="T746" s="159"/>
      <c r="U746" s="159"/>
      <c r="V746" s="159"/>
      <c r="W746" s="159"/>
      <c r="X746" s="159"/>
      <c r="AA746" s="159"/>
    </row>
    <row r="747" spans="4:27" s="66" customFormat="1">
      <c r="D747" s="75"/>
      <c r="F747" s="158"/>
      <c r="G747" s="64"/>
      <c r="H747" s="30"/>
      <c r="I747" s="136"/>
      <c r="J747" s="136"/>
      <c r="K747" s="136"/>
      <c r="L747" s="136"/>
      <c r="M747" s="159"/>
      <c r="N747" s="84"/>
      <c r="O747" s="84"/>
      <c r="P747" s="84"/>
      <c r="Q747" s="84"/>
      <c r="R747" s="84"/>
      <c r="S747" s="159"/>
      <c r="T747" s="159"/>
      <c r="U747" s="159"/>
      <c r="V747" s="159"/>
      <c r="W747" s="159"/>
      <c r="X747" s="159"/>
      <c r="AA747" s="159"/>
    </row>
    <row r="748" spans="4:27" s="66" customFormat="1">
      <c r="D748" s="75"/>
      <c r="F748" s="158"/>
      <c r="G748" s="64"/>
      <c r="H748" s="30"/>
      <c r="I748" s="136"/>
      <c r="J748" s="136"/>
      <c r="K748" s="136"/>
      <c r="L748" s="136"/>
      <c r="M748" s="159"/>
      <c r="N748" s="84"/>
      <c r="O748" s="84"/>
      <c r="P748" s="84"/>
      <c r="Q748" s="84"/>
      <c r="R748" s="84"/>
      <c r="S748" s="159"/>
      <c r="T748" s="159"/>
      <c r="U748" s="159"/>
      <c r="V748" s="159"/>
      <c r="W748" s="159"/>
      <c r="X748" s="159"/>
      <c r="AA748" s="159"/>
    </row>
    <row r="749" spans="4:27" s="66" customFormat="1">
      <c r="D749" s="75"/>
      <c r="F749" s="158"/>
      <c r="G749" s="64"/>
      <c r="H749" s="30"/>
      <c r="I749" s="136"/>
      <c r="J749" s="136"/>
      <c r="K749" s="136"/>
      <c r="L749" s="136"/>
      <c r="M749" s="159"/>
      <c r="N749" s="84"/>
      <c r="O749" s="84"/>
      <c r="P749" s="84"/>
      <c r="Q749" s="84"/>
      <c r="R749" s="84"/>
      <c r="S749" s="159"/>
      <c r="T749" s="159"/>
      <c r="U749" s="159"/>
      <c r="V749" s="159"/>
      <c r="W749" s="159"/>
      <c r="X749" s="159"/>
      <c r="AA749" s="159"/>
    </row>
    <row r="750" spans="4:27" s="66" customFormat="1">
      <c r="D750" s="75"/>
      <c r="F750" s="158"/>
      <c r="G750" s="64"/>
      <c r="H750" s="30"/>
      <c r="I750" s="136"/>
      <c r="J750" s="136"/>
      <c r="K750" s="136"/>
      <c r="L750" s="136"/>
      <c r="M750" s="159"/>
      <c r="N750" s="84"/>
      <c r="O750" s="84"/>
      <c r="P750" s="84"/>
      <c r="Q750" s="84"/>
      <c r="R750" s="84"/>
      <c r="S750" s="159"/>
      <c r="T750" s="159"/>
      <c r="U750" s="159"/>
      <c r="V750" s="159"/>
      <c r="W750" s="159"/>
      <c r="X750" s="159"/>
      <c r="AA750" s="159"/>
    </row>
    <row r="751" spans="4:27" s="66" customFormat="1">
      <c r="D751" s="75"/>
      <c r="F751" s="158"/>
      <c r="G751" s="64"/>
      <c r="H751" s="30"/>
      <c r="I751" s="136"/>
      <c r="J751" s="136"/>
      <c r="K751" s="136"/>
      <c r="L751" s="136"/>
      <c r="M751" s="159"/>
      <c r="N751" s="84"/>
      <c r="O751" s="84"/>
      <c r="P751" s="84"/>
      <c r="Q751" s="84"/>
      <c r="R751" s="84"/>
      <c r="S751" s="159"/>
      <c r="T751" s="159"/>
      <c r="U751" s="159"/>
      <c r="V751" s="159"/>
      <c r="W751" s="159"/>
      <c r="X751" s="159"/>
      <c r="AA751" s="159"/>
    </row>
    <row r="752" spans="4:27" s="66" customFormat="1">
      <c r="D752" s="75"/>
      <c r="F752" s="158"/>
      <c r="G752" s="64"/>
      <c r="H752" s="30"/>
      <c r="I752" s="136"/>
      <c r="J752" s="136"/>
      <c r="K752" s="136"/>
      <c r="L752" s="136"/>
      <c r="M752" s="159"/>
      <c r="N752" s="84"/>
      <c r="O752" s="84"/>
      <c r="P752" s="84"/>
      <c r="Q752" s="84"/>
      <c r="R752" s="84"/>
      <c r="S752" s="159"/>
      <c r="T752" s="159"/>
      <c r="U752" s="159"/>
      <c r="V752" s="159"/>
      <c r="W752" s="159"/>
      <c r="X752" s="159"/>
      <c r="AA752" s="159"/>
    </row>
    <row r="753" spans="4:27" s="66" customFormat="1">
      <c r="D753" s="75"/>
      <c r="F753" s="158"/>
      <c r="G753" s="64"/>
      <c r="H753" s="30"/>
      <c r="I753" s="136"/>
      <c r="J753" s="136"/>
      <c r="K753" s="136"/>
      <c r="L753" s="136"/>
      <c r="M753" s="159"/>
      <c r="N753" s="84"/>
      <c r="O753" s="84"/>
      <c r="P753" s="84"/>
      <c r="Q753" s="84"/>
      <c r="R753" s="84"/>
      <c r="S753" s="159"/>
      <c r="T753" s="159"/>
      <c r="U753" s="159"/>
      <c r="V753" s="159"/>
      <c r="W753" s="159"/>
      <c r="X753" s="159"/>
      <c r="AA753" s="159"/>
    </row>
    <row r="754" spans="4:27" s="66" customFormat="1">
      <c r="D754" s="75"/>
      <c r="F754" s="158"/>
      <c r="G754" s="64"/>
      <c r="H754" s="30"/>
      <c r="I754" s="136"/>
      <c r="J754" s="136"/>
      <c r="K754" s="136"/>
      <c r="L754" s="136"/>
      <c r="M754" s="159"/>
      <c r="N754" s="84"/>
      <c r="O754" s="84"/>
      <c r="P754" s="84"/>
      <c r="Q754" s="84"/>
      <c r="R754" s="84"/>
      <c r="S754" s="159"/>
      <c r="T754" s="159"/>
      <c r="U754" s="159"/>
      <c r="V754" s="159"/>
      <c r="W754" s="159"/>
      <c r="X754" s="159"/>
      <c r="AA754" s="159"/>
    </row>
    <row r="755" spans="4:27" s="66" customFormat="1">
      <c r="D755" s="75"/>
      <c r="F755" s="158"/>
      <c r="G755" s="64"/>
      <c r="H755" s="30"/>
      <c r="I755" s="136"/>
      <c r="J755" s="136"/>
      <c r="K755" s="136"/>
      <c r="L755" s="136"/>
      <c r="M755" s="159"/>
      <c r="N755" s="84"/>
      <c r="O755" s="84"/>
      <c r="P755" s="84"/>
      <c r="Q755" s="84"/>
      <c r="R755" s="84"/>
      <c r="S755" s="159"/>
      <c r="T755" s="159"/>
      <c r="U755" s="159"/>
      <c r="V755" s="159"/>
      <c r="W755" s="159"/>
      <c r="X755" s="159"/>
      <c r="AA755" s="159"/>
    </row>
    <row r="756" spans="4:27" s="66" customFormat="1">
      <c r="D756" s="75"/>
      <c r="F756" s="158"/>
      <c r="G756" s="64"/>
      <c r="H756" s="30"/>
      <c r="I756" s="136"/>
      <c r="J756" s="136"/>
      <c r="K756" s="136"/>
      <c r="L756" s="136"/>
      <c r="M756" s="159"/>
      <c r="N756" s="84"/>
      <c r="O756" s="84"/>
      <c r="P756" s="84"/>
      <c r="Q756" s="84"/>
      <c r="R756" s="84"/>
      <c r="S756" s="159"/>
      <c r="T756" s="159"/>
      <c r="U756" s="159"/>
      <c r="V756" s="159"/>
      <c r="W756" s="159"/>
      <c r="X756" s="159"/>
      <c r="AA756" s="159"/>
    </row>
    <row r="757" spans="4:27" s="66" customFormat="1">
      <c r="D757" s="75"/>
      <c r="F757" s="158"/>
      <c r="G757" s="64"/>
      <c r="H757" s="30"/>
      <c r="I757" s="136"/>
      <c r="J757" s="136"/>
      <c r="K757" s="136"/>
      <c r="L757" s="136"/>
      <c r="M757" s="159"/>
      <c r="N757" s="84"/>
      <c r="O757" s="84"/>
      <c r="P757" s="84"/>
      <c r="Q757" s="84"/>
      <c r="R757" s="84"/>
      <c r="S757" s="159"/>
      <c r="T757" s="159"/>
      <c r="U757" s="159"/>
      <c r="V757" s="159"/>
      <c r="W757" s="159"/>
      <c r="X757" s="159"/>
      <c r="AA757" s="159"/>
    </row>
    <row r="758" spans="4:27" s="66" customFormat="1">
      <c r="D758" s="75"/>
      <c r="F758" s="158"/>
      <c r="G758" s="64"/>
      <c r="H758" s="30"/>
      <c r="I758" s="136"/>
      <c r="J758" s="136"/>
      <c r="K758" s="136"/>
      <c r="L758" s="136"/>
      <c r="M758" s="159"/>
      <c r="N758" s="84"/>
      <c r="O758" s="84"/>
      <c r="P758" s="84"/>
      <c r="Q758" s="84"/>
      <c r="R758" s="84"/>
      <c r="S758" s="159"/>
      <c r="T758" s="159"/>
      <c r="U758" s="159"/>
      <c r="V758" s="159"/>
      <c r="W758" s="159"/>
      <c r="X758" s="159"/>
      <c r="AA758" s="159"/>
    </row>
    <row r="759" spans="4:27" s="66" customFormat="1">
      <c r="D759" s="75"/>
      <c r="F759" s="158"/>
      <c r="G759" s="64"/>
      <c r="H759" s="30"/>
      <c r="I759" s="136"/>
      <c r="J759" s="136"/>
      <c r="K759" s="136"/>
      <c r="L759" s="136"/>
      <c r="M759" s="159"/>
      <c r="N759" s="84"/>
      <c r="O759" s="84"/>
      <c r="P759" s="84"/>
      <c r="Q759" s="84"/>
      <c r="R759" s="84"/>
      <c r="S759" s="159"/>
      <c r="T759" s="159"/>
      <c r="U759" s="159"/>
      <c r="V759" s="159"/>
      <c r="W759" s="159"/>
      <c r="X759" s="159"/>
      <c r="AA759" s="159"/>
    </row>
    <row r="760" spans="4:27" s="66" customFormat="1">
      <c r="D760" s="75"/>
      <c r="F760" s="158"/>
      <c r="G760" s="64"/>
      <c r="H760" s="30"/>
      <c r="I760" s="136"/>
      <c r="J760" s="136"/>
      <c r="K760" s="136"/>
      <c r="L760" s="136"/>
      <c r="M760" s="159"/>
      <c r="N760" s="84"/>
      <c r="O760" s="84"/>
      <c r="P760" s="84"/>
      <c r="Q760" s="84"/>
      <c r="R760" s="84"/>
      <c r="S760" s="159"/>
      <c r="T760" s="159"/>
      <c r="U760" s="159"/>
      <c r="V760" s="159"/>
      <c r="W760" s="159"/>
      <c r="X760" s="159"/>
      <c r="AA760" s="159"/>
    </row>
    <row r="761" spans="4:27" s="66" customFormat="1">
      <c r="D761" s="75"/>
      <c r="F761" s="158"/>
      <c r="G761" s="64"/>
      <c r="H761" s="30"/>
      <c r="I761" s="136"/>
      <c r="J761" s="136"/>
      <c r="K761" s="136"/>
      <c r="L761" s="136"/>
      <c r="M761" s="159"/>
      <c r="N761" s="84"/>
      <c r="O761" s="84"/>
      <c r="P761" s="84"/>
      <c r="Q761" s="84"/>
      <c r="R761" s="84"/>
      <c r="S761" s="159"/>
      <c r="T761" s="159"/>
      <c r="U761" s="159"/>
      <c r="V761" s="159"/>
      <c r="W761" s="159"/>
      <c r="X761" s="159"/>
      <c r="AA761" s="159"/>
    </row>
    <row r="762" spans="4:27" s="66" customFormat="1">
      <c r="D762" s="75"/>
      <c r="F762" s="158"/>
      <c r="G762" s="64"/>
      <c r="H762" s="30"/>
      <c r="I762" s="136"/>
      <c r="J762" s="136"/>
      <c r="K762" s="136"/>
      <c r="L762" s="136"/>
      <c r="M762" s="159"/>
      <c r="N762" s="84"/>
      <c r="O762" s="84"/>
      <c r="P762" s="84"/>
      <c r="Q762" s="84"/>
      <c r="R762" s="84"/>
      <c r="S762" s="159"/>
      <c r="T762" s="159"/>
      <c r="U762" s="159"/>
      <c r="V762" s="159"/>
      <c r="W762" s="159"/>
      <c r="X762" s="159"/>
      <c r="AA762" s="159"/>
    </row>
    <row r="763" spans="4:27" s="66" customFormat="1">
      <c r="D763" s="75"/>
      <c r="F763" s="158"/>
      <c r="G763" s="64"/>
      <c r="H763" s="30"/>
      <c r="I763" s="136"/>
      <c r="J763" s="136"/>
      <c r="K763" s="136"/>
      <c r="L763" s="136"/>
      <c r="M763" s="159"/>
      <c r="N763" s="84"/>
      <c r="O763" s="84"/>
      <c r="P763" s="84"/>
      <c r="Q763" s="84"/>
      <c r="R763" s="84"/>
      <c r="S763" s="159"/>
      <c r="T763" s="159"/>
      <c r="U763" s="159"/>
      <c r="V763" s="159"/>
      <c r="W763" s="159"/>
      <c r="X763" s="159"/>
      <c r="AA763" s="159"/>
    </row>
    <row r="764" spans="4:27" s="66" customFormat="1">
      <c r="D764" s="75"/>
      <c r="F764" s="158"/>
      <c r="G764" s="64"/>
      <c r="H764" s="30"/>
      <c r="I764" s="136"/>
      <c r="J764" s="136"/>
      <c r="K764" s="136"/>
      <c r="L764" s="136"/>
      <c r="M764" s="159"/>
      <c r="N764" s="84"/>
      <c r="O764" s="84"/>
      <c r="P764" s="84"/>
      <c r="Q764" s="84"/>
      <c r="R764" s="84"/>
      <c r="S764" s="159"/>
      <c r="T764" s="159"/>
      <c r="U764" s="159"/>
      <c r="V764" s="159"/>
      <c r="W764" s="159"/>
      <c r="X764" s="159"/>
      <c r="AA764" s="159"/>
    </row>
    <row r="765" spans="4:27" s="66" customFormat="1">
      <c r="D765" s="75"/>
      <c r="F765" s="158"/>
      <c r="G765" s="64"/>
      <c r="H765" s="30"/>
      <c r="I765" s="136"/>
      <c r="J765" s="136"/>
      <c r="K765" s="136"/>
      <c r="L765" s="136"/>
      <c r="M765" s="159"/>
      <c r="N765" s="84"/>
      <c r="O765" s="84"/>
      <c r="P765" s="84"/>
      <c r="Q765" s="84"/>
      <c r="R765" s="84"/>
      <c r="S765" s="159"/>
      <c r="T765" s="159"/>
      <c r="U765" s="159"/>
      <c r="V765" s="159"/>
      <c r="W765" s="159"/>
      <c r="X765" s="159"/>
      <c r="AA765" s="159"/>
    </row>
    <row r="766" spans="4:27" s="66" customFormat="1">
      <c r="D766" s="75"/>
      <c r="F766" s="158"/>
      <c r="G766" s="64"/>
      <c r="H766" s="30"/>
      <c r="I766" s="136"/>
      <c r="J766" s="136"/>
      <c r="K766" s="136"/>
      <c r="L766" s="136"/>
      <c r="M766" s="159"/>
      <c r="N766" s="84"/>
      <c r="O766" s="84"/>
      <c r="P766" s="84"/>
      <c r="Q766" s="84"/>
      <c r="R766" s="84"/>
      <c r="S766" s="159"/>
      <c r="T766" s="159"/>
      <c r="U766" s="159"/>
      <c r="V766" s="159"/>
      <c r="W766" s="159"/>
      <c r="X766" s="159"/>
      <c r="AA766" s="159"/>
    </row>
    <row r="767" spans="4:27" s="66" customFormat="1">
      <c r="D767" s="75"/>
      <c r="F767" s="158"/>
      <c r="G767" s="64"/>
      <c r="H767" s="30"/>
      <c r="I767" s="136"/>
      <c r="J767" s="136"/>
      <c r="K767" s="136"/>
      <c r="L767" s="136"/>
      <c r="M767" s="159"/>
      <c r="N767" s="84"/>
      <c r="O767" s="84"/>
      <c r="P767" s="84"/>
      <c r="Q767" s="84"/>
      <c r="R767" s="84"/>
      <c r="S767" s="159"/>
      <c r="T767" s="159"/>
      <c r="U767" s="159"/>
      <c r="V767" s="159"/>
      <c r="W767" s="159"/>
      <c r="X767" s="159"/>
      <c r="AA767" s="159"/>
    </row>
    <row r="768" spans="4:27" s="66" customFormat="1">
      <c r="D768" s="75"/>
      <c r="F768" s="158"/>
      <c r="G768" s="64"/>
      <c r="H768" s="30"/>
      <c r="I768" s="136"/>
      <c r="J768" s="136"/>
      <c r="K768" s="136"/>
      <c r="L768" s="136"/>
      <c r="M768" s="159"/>
      <c r="N768" s="84"/>
      <c r="O768" s="84"/>
      <c r="P768" s="84"/>
      <c r="Q768" s="84"/>
      <c r="R768" s="84"/>
      <c r="S768" s="159"/>
      <c r="T768" s="159"/>
      <c r="U768" s="159"/>
      <c r="V768" s="159"/>
      <c r="W768" s="159"/>
      <c r="X768" s="159"/>
      <c r="AA768" s="159"/>
    </row>
    <row r="769" spans="4:27" s="66" customFormat="1">
      <c r="D769" s="75"/>
      <c r="F769" s="158"/>
      <c r="G769" s="64"/>
      <c r="H769" s="30"/>
      <c r="I769" s="136"/>
      <c r="J769" s="136"/>
      <c r="K769" s="136"/>
      <c r="L769" s="136"/>
      <c r="M769" s="159"/>
      <c r="N769" s="84"/>
      <c r="O769" s="84"/>
      <c r="P769" s="84"/>
      <c r="Q769" s="84"/>
      <c r="R769" s="84"/>
      <c r="S769" s="159"/>
      <c r="T769" s="159"/>
      <c r="U769" s="159"/>
      <c r="V769" s="159"/>
      <c r="W769" s="159"/>
      <c r="X769" s="159"/>
      <c r="AA769" s="159"/>
    </row>
    <row r="770" spans="4:27" s="66" customFormat="1">
      <c r="D770" s="75"/>
      <c r="F770" s="158"/>
      <c r="G770" s="64"/>
      <c r="H770" s="30"/>
      <c r="I770" s="136"/>
      <c r="J770" s="136"/>
      <c r="K770" s="136"/>
      <c r="L770" s="136"/>
      <c r="M770" s="159"/>
      <c r="N770" s="84"/>
      <c r="O770" s="84"/>
      <c r="P770" s="84"/>
      <c r="Q770" s="84"/>
      <c r="R770" s="84"/>
      <c r="S770" s="159"/>
      <c r="T770" s="159"/>
      <c r="U770" s="159"/>
      <c r="V770" s="159"/>
      <c r="W770" s="159"/>
      <c r="X770" s="159"/>
      <c r="AA770" s="159"/>
    </row>
    <row r="771" spans="4:27" s="66" customFormat="1">
      <c r="D771" s="75"/>
      <c r="F771" s="158"/>
      <c r="G771" s="64"/>
      <c r="H771" s="30"/>
      <c r="I771" s="136"/>
      <c r="J771" s="136"/>
      <c r="K771" s="136"/>
      <c r="L771" s="136"/>
      <c r="M771" s="159"/>
      <c r="N771" s="84"/>
      <c r="O771" s="84"/>
      <c r="P771" s="84"/>
      <c r="Q771" s="84"/>
      <c r="R771" s="84"/>
      <c r="S771" s="159"/>
      <c r="T771" s="159"/>
      <c r="U771" s="159"/>
      <c r="V771" s="159"/>
      <c r="W771" s="159"/>
      <c r="X771" s="159"/>
      <c r="AA771" s="159"/>
    </row>
    <row r="772" spans="4:27" s="66" customFormat="1">
      <c r="D772" s="75"/>
      <c r="F772" s="158"/>
      <c r="G772" s="64"/>
      <c r="H772" s="30"/>
      <c r="I772" s="136"/>
      <c r="J772" s="136"/>
      <c r="K772" s="136"/>
      <c r="L772" s="136"/>
      <c r="M772" s="159"/>
      <c r="N772" s="84"/>
      <c r="O772" s="84"/>
      <c r="P772" s="84"/>
      <c r="Q772" s="84"/>
      <c r="R772" s="84"/>
      <c r="S772" s="159"/>
      <c r="T772" s="159"/>
      <c r="U772" s="159"/>
      <c r="V772" s="159"/>
      <c r="W772" s="159"/>
      <c r="X772" s="159"/>
      <c r="AA772" s="159"/>
    </row>
    <row r="773" spans="4:27" s="66" customFormat="1">
      <c r="D773" s="75"/>
      <c r="F773" s="158"/>
      <c r="G773" s="64"/>
      <c r="H773" s="30"/>
      <c r="I773" s="136"/>
      <c r="J773" s="136"/>
      <c r="K773" s="136"/>
      <c r="L773" s="136"/>
      <c r="M773" s="159"/>
      <c r="N773" s="84"/>
      <c r="O773" s="84"/>
      <c r="P773" s="84"/>
      <c r="Q773" s="84"/>
      <c r="R773" s="84"/>
      <c r="S773" s="159"/>
      <c r="T773" s="159"/>
      <c r="U773" s="159"/>
      <c r="V773" s="159"/>
      <c r="W773" s="159"/>
      <c r="X773" s="159"/>
      <c r="AA773" s="159"/>
    </row>
    <row r="774" spans="4:27" s="66" customFormat="1">
      <c r="D774" s="75"/>
      <c r="F774" s="158"/>
      <c r="G774" s="64"/>
      <c r="H774" s="30"/>
      <c r="I774" s="136"/>
      <c r="J774" s="136"/>
      <c r="K774" s="136"/>
      <c r="L774" s="136"/>
      <c r="M774" s="159"/>
      <c r="N774" s="84"/>
      <c r="O774" s="84"/>
      <c r="P774" s="84"/>
      <c r="Q774" s="84"/>
      <c r="R774" s="84"/>
      <c r="S774" s="159"/>
      <c r="T774" s="159"/>
      <c r="U774" s="159"/>
      <c r="V774" s="159"/>
      <c r="W774" s="159"/>
      <c r="X774" s="159"/>
      <c r="AA774" s="159"/>
    </row>
    <row r="775" spans="4:27" s="66" customFormat="1">
      <c r="D775" s="75"/>
      <c r="F775" s="158"/>
      <c r="G775" s="64"/>
      <c r="H775" s="30"/>
      <c r="I775" s="136"/>
      <c r="J775" s="136"/>
      <c r="K775" s="136"/>
      <c r="L775" s="136"/>
      <c r="M775" s="159"/>
      <c r="N775" s="84"/>
      <c r="O775" s="84"/>
      <c r="P775" s="84"/>
      <c r="Q775" s="84"/>
      <c r="R775" s="84"/>
      <c r="S775" s="159"/>
      <c r="T775" s="159"/>
      <c r="U775" s="159"/>
      <c r="V775" s="159"/>
      <c r="W775" s="159"/>
      <c r="X775" s="159"/>
      <c r="AA775" s="159"/>
    </row>
    <row r="776" spans="4:27" s="66" customFormat="1">
      <c r="D776" s="75"/>
      <c r="F776" s="158"/>
      <c r="G776" s="64"/>
      <c r="H776" s="30"/>
      <c r="I776" s="136"/>
      <c r="J776" s="136"/>
      <c r="K776" s="136"/>
      <c r="L776" s="136"/>
      <c r="M776" s="159"/>
      <c r="N776" s="84"/>
      <c r="O776" s="84"/>
      <c r="P776" s="84"/>
      <c r="Q776" s="84"/>
      <c r="R776" s="84"/>
      <c r="S776" s="159"/>
      <c r="T776" s="159"/>
      <c r="U776" s="159"/>
      <c r="V776" s="159"/>
      <c r="W776" s="159"/>
      <c r="X776" s="159"/>
      <c r="AA776" s="159"/>
    </row>
    <row r="777" spans="4:27" s="66" customFormat="1">
      <c r="D777" s="75"/>
      <c r="F777" s="158"/>
      <c r="G777" s="64"/>
      <c r="H777" s="30"/>
      <c r="I777" s="136"/>
      <c r="J777" s="136"/>
      <c r="K777" s="136"/>
      <c r="L777" s="136"/>
      <c r="M777" s="159"/>
      <c r="N777" s="84"/>
      <c r="O777" s="84"/>
      <c r="P777" s="84"/>
      <c r="Q777" s="84"/>
      <c r="R777" s="84"/>
      <c r="S777" s="159"/>
      <c r="T777" s="159"/>
      <c r="U777" s="159"/>
      <c r="V777" s="159"/>
      <c r="W777" s="159"/>
      <c r="X777" s="159"/>
      <c r="AA777" s="159"/>
    </row>
    <row r="778" spans="4:27" s="66" customFormat="1">
      <c r="D778" s="75"/>
      <c r="F778" s="158"/>
      <c r="G778" s="64"/>
      <c r="H778" s="30"/>
      <c r="I778" s="136"/>
      <c r="J778" s="136"/>
      <c r="K778" s="136"/>
      <c r="L778" s="136"/>
      <c r="M778" s="159"/>
      <c r="N778" s="84"/>
      <c r="O778" s="84"/>
      <c r="P778" s="84"/>
      <c r="Q778" s="84"/>
      <c r="R778" s="84"/>
      <c r="S778" s="159"/>
      <c r="T778" s="159"/>
      <c r="U778" s="159"/>
      <c r="V778" s="159"/>
      <c r="W778" s="159"/>
      <c r="X778" s="159"/>
      <c r="AA778" s="159"/>
    </row>
    <row r="779" spans="4:27" s="66" customFormat="1">
      <c r="D779" s="75"/>
      <c r="F779" s="158"/>
      <c r="G779" s="64"/>
      <c r="H779" s="30"/>
      <c r="I779" s="136"/>
      <c r="J779" s="136"/>
      <c r="K779" s="136"/>
      <c r="L779" s="136"/>
      <c r="M779" s="159"/>
      <c r="N779" s="84"/>
      <c r="O779" s="84"/>
      <c r="P779" s="84"/>
      <c r="Q779" s="84"/>
      <c r="R779" s="84"/>
      <c r="S779" s="159"/>
      <c r="T779" s="159"/>
      <c r="U779" s="159"/>
      <c r="V779" s="159"/>
      <c r="W779" s="159"/>
      <c r="X779" s="159"/>
      <c r="AA779" s="159"/>
    </row>
    <row r="780" spans="4:27" s="66" customFormat="1">
      <c r="D780" s="75"/>
      <c r="F780" s="158"/>
      <c r="G780" s="64"/>
      <c r="H780" s="30"/>
      <c r="I780" s="136"/>
      <c r="J780" s="136"/>
      <c r="K780" s="136"/>
      <c r="L780" s="136"/>
      <c r="M780" s="159"/>
      <c r="N780" s="84"/>
      <c r="O780" s="84"/>
      <c r="P780" s="84"/>
      <c r="Q780" s="84"/>
      <c r="R780" s="84"/>
      <c r="S780" s="159"/>
      <c r="T780" s="159"/>
      <c r="U780" s="159"/>
      <c r="V780" s="159"/>
      <c r="W780" s="159"/>
      <c r="X780" s="159"/>
      <c r="AA780" s="159"/>
    </row>
    <row r="781" spans="4:27" s="66" customFormat="1">
      <c r="D781" s="75"/>
      <c r="F781" s="158"/>
      <c r="G781" s="64"/>
      <c r="H781" s="30"/>
      <c r="I781" s="136"/>
      <c r="J781" s="136"/>
      <c r="K781" s="136"/>
      <c r="L781" s="136"/>
      <c r="M781" s="159"/>
      <c r="N781" s="84"/>
      <c r="O781" s="84"/>
      <c r="P781" s="84"/>
      <c r="Q781" s="84"/>
      <c r="R781" s="84"/>
      <c r="S781" s="159"/>
      <c r="T781" s="159"/>
      <c r="U781" s="159"/>
      <c r="V781" s="159"/>
      <c r="W781" s="159"/>
      <c r="X781" s="159"/>
      <c r="AA781" s="159"/>
    </row>
    <row r="782" spans="4:27" s="66" customFormat="1">
      <c r="D782" s="75"/>
      <c r="F782" s="158"/>
      <c r="G782" s="64"/>
      <c r="H782" s="30"/>
      <c r="I782" s="136"/>
      <c r="J782" s="136"/>
      <c r="K782" s="136"/>
      <c r="L782" s="136"/>
      <c r="M782" s="159"/>
      <c r="N782" s="84"/>
      <c r="O782" s="84"/>
      <c r="P782" s="84"/>
      <c r="Q782" s="84"/>
      <c r="R782" s="84"/>
      <c r="S782" s="159"/>
      <c r="T782" s="159"/>
      <c r="U782" s="159"/>
      <c r="V782" s="159"/>
      <c r="W782" s="159"/>
      <c r="X782" s="159"/>
      <c r="AA782" s="159"/>
    </row>
    <row r="783" spans="4:27" s="66" customFormat="1">
      <c r="D783" s="75"/>
      <c r="F783" s="158"/>
      <c r="G783" s="64"/>
      <c r="H783" s="30"/>
      <c r="I783" s="136"/>
      <c r="J783" s="136"/>
      <c r="K783" s="136"/>
      <c r="L783" s="136"/>
      <c r="M783" s="159"/>
      <c r="N783" s="84"/>
      <c r="O783" s="84"/>
      <c r="P783" s="84"/>
      <c r="Q783" s="84"/>
      <c r="R783" s="84"/>
      <c r="S783" s="159"/>
      <c r="T783" s="159"/>
      <c r="U783" s="159"/>
      <c r="V783" s="159"/>
      <c r="W783" s="159"/>
      <c r="X783" s="159"/>
      <c r="AA783" s="159"/>
    </row>
    <row r="784" spans="4:27" s="66" customFormat="1">
      <c r="D784" s="75"/>
      <c r="F784" s="158"/>
      <c r="G784" s="64"/>
      <c r="H784" s="30"/>
      <c r="I784" s="136"/>
      <c r="J784" s="136"/>
      <c r="K784" s="136"/>
      <c r="L784" s="136"/>
      <c r="M784" s="159"/>
      <c r="N784" s="84"/>
      <c r="O784" s="84"/>
      <c r="P784" s="84"/>
      <c r="Q784" s="84"/>
      <c r="R784" s="84"/>
      <c r="S784" s="159"/>
      <c r="T784" s="159"/>
      <c r="U784" s="159"/>
      <c r="V784" s="159"/>
      <c r="W784" s="159"/>
      <c r="X784" s="159"/>
      <c r="AA784" s="159"/>
    </row>
    <row r="785" spans="4:27" s="66" customFormat="1">
      <c r="D785" s="75"/>
      <c r="F785" s="158"/>
      <c r="G785" s="64"/>
      <c r="H785" s="30"/>
      <c r="I785" s="136"/>
      <c r="J785" s="136"/>
      <c r="K785" s="136"/>
      <c r="L785" s="136"/>
      <c r="M785" s="159"/>
      <c r="N785" s="84"/>
      <c r="O785" s="84"/>
      <c r="P785" s="84"/>
      <c r="Q785" s="84"/>
      <c r="R785" s="84"/>
      <c r="S785" s="159"/>
      <c r="T785" s="159"/>
      <c r="U785" s="159"/>
      <c r="V785" s="159"/>
      <c r="W785" s="159"/>
      <c r="X785" s="159"/>
      <c r="AA785" s="159"/>
    </row>
    <row r="786" spans="4:27" s="66" customFormat="1">
      <c r="D786" s="75"/>
      <c r="F786" s="158"/>
      <c r="G786" s="64"/>
      <c r="H786" s="30"/>
      <c r="I786" s="136"/>
      <c r="J786" s="136"/>
      <c r="K786" s="136"/>
      <c r="L786" s="136"/>
      <c r="M786" s="159"/>
      <c r="N786" s="84"/>
      <c r="O786" s="84"/>
      <c r="P786" s="84"/>
      <c r="Q786" s="84"/>
      <c r="R786" s="84"/>
      <c r="S786" s="159"/>
      <c r="T786" s="159"/>
      <c r="U786" s="159"/>
      <c r="V786" s="159"/>
      <c r="W786" s="159"/>
      <c r="X786" s="159"/>
      <c r="AA786" s="159"/>
    </row>
    <row r="787" spans="4:27" s="66" customFormat="1">
      <c r="D787" s="75"/>
      <c r="F787" s="158"/>
      <c r="G787" s="64"/>
      <c r="H787" s="30"/>
      <c r="I787" s="136"/>
      <c r="J787" s="136"/>
      <c r="K787" s="136"/>
      <c r="L787" s="136"/>
      <c r="M787" s="159"/>
      <c r="N787" s="84"/>
      <c r="O787" s="84"/>
      <c r="P787" s="84"/>
      <c r="Q787" s="84"/>
      <c r="R787" s="84"/>
      <c r="S787" s="159"/>
      <c r="T787" s="159"/>
      <c r="U787" s="159"/>
      <c r="V787" s="159"/>
      <c r="W787" s="159"/>
      <c r="X787" s="159"/>
      <c r="AA787" s="159"/>
    </row>
    <row r="788" spans="4:27" s="66" customFormat="1">
      <c r="D788" s="75"/>
      <c r="F788" s="158"/>
      <c r="G788" s="64"/>
      <c r="H788" s="30"/>
      <c r="I788" s="136"/>
      <c r="J788" s="136"/>
      <c r="K788" s="136"/>
      <c r="L788" s="136"/>
      <c r="M788" s="159"/>
      <c r="N788" s="84"/>
      <c r="O788" s="84"/>
      <c r="P788" s="84"/>
      <c r="Q788" s="84"/>
      <c r="R788" s="84"/>
      <c r="S788" s="159"/>
      <c r="T788" s="159"/>
      <c r="U788" s="159"/>
      <c r="V788" s="159"/>
      <c r="W788" s="159"/>
      <c r="X788" s="159"/>
      <c r="AA788" s="159"/>
    </row>
    <row r="789" spans="4:27" s="66" customFormat="1">
      <c r="D789" s="75"/>
      <c r="F789" s="158"/>
      <c r="G789" s="64"/>
      <c r="H789" s="30"/>
      <c r="I789" s="136"/>
      <c r="J789" s="136"/>
      <c r="K789" s="136"/>
      <c r="L789" s="136"/>
      <c r="M789" s="159"/>
      <c r="N789" s="84"/>
      <c r="O789" s="84"/>
      <c r="P789" s="84"/>
      <c r="Q789" s="84"/>
      <c r="R789" s="84"/>
      <c r="S789" s="159"/>
      <c r="T789" s="159"/>
      <c r="U789" s="159"/>
      <c r="V789" s="159"/>
      <c r="W789" s="159"/>
      <c r="X789" s="159"/>
      <c r="AA789" s="159"/>
    </row>
    <row r="790" spans="4:27" s="66" customFormat="1">
      <c r="D790" s="75"/>
      <c r="F790" s="158"/>
      <c r="G790" s="64"/>
      <c r="H790" s="30"/>
      <c r="I790" s="136"/>
      <c r="J790" s="136"/>
      <c r="K790" s="136"/>
      <c r="L790" s="136"/>
      <c r="M790" s="159"/>
      <c r="N790" s="84"/>
      <c r="O790" s="84"/>
      <c r="P790" s="84"/>
      <c r="Q790" s="84"/>
      <c r="R790" s="84"/>
      <c r="S790" s="159"/>
      <c r="T790" s="159"/>
      <c r="U790" s="159"/>
      <c r="V790" s="159"/>
      <c r="W790" s="159"/>
      <c r="X790" s="159"/>
      <c r="AA790" s="159"/>
    </row>
    <row r="791" spans="4:27" s="66" customFormat="1">
      <c r="D791" s="75"/>
      <c r="F791" s="158"/>
      <c r="G791" s="64"/>
      <c r="H791" s="30"/>
      <c r="I791" s="136"/>
      <c r="J791" s="136"/>
      <c r="K791" s="136"/>
      <c r="L791" s="136"/>
      <c r="M791" s="159"/>
      <c r="N791" s="84"/>
      <c r="O791" s="84"/>
      <c r="P791" s="84"/>
      <c r="Q791" s="84"/>
      <c r="R791" s="84"/>
      <c r="S791" s="159"/>
      <c r="T791" s="159"/>
      <c r="U791" s="159"/>
      <c r="V791" s="159"/>
      <c r="W791" s="159"/>
      <c r="X791" s="159"/>
      <c r="AA791" s="159"/>
    </row>
    <row r="792" spans="4:27" s="66" customFormat="1">
      <c r="D792" s="75"/>
      <c r="F792" s="158"/>
      <c r="G792" s="64"/>
      <c r="H792" s="30"/>
      <c r="I792" s="136"/>
      <c r="J792" s="136"/>
      <c r="K792" s="136"/>
      <c r="L792" s="136"/>
      <c r="M792" s="159"/>
      <c r="N792" s="84"/>
      <c r="O792" s="84"/>
      <c r="P792" s="84"/>
      <c r="Q792" s="84"/>
      <c r="R792" s="84"/>
      <c r="S792" s="159"/>
      <c r="T792" s="159"/>
      <c r="U792" s="159"/>
      <c r="V792" s="159"/>
      <c r="W792" s="159"/>
      <c r="X792" s="159"/>
      <c r="AA792" s="159"/>
    </row>
    <row r="793" spans="4:27" s="66" customFormat="1">
      <c r="D793" s="75"/>
      <c r="F793" s="158"/>
      <c r="G793" s="64"/>
      <c r="H793" s="30"/>
      <c r="I793" s="136"/>
      <c r="J793" s="136"/>
      <c r="K793" s="136"/>
      <c r="L793" s="136"/>
      <c r="M793" s="159"/>
      <c r="N793" s="84"/>
      <c r="O793" s="84"/>
      <c r="P793" s="84"/>
      <c r="Q793" s="84"/>
      <c r="R793" s="84"/>
      <c r="S793" s="159"/>
      <c r="T793" s="159"/>
      <c r="U793" s="159"/>
      <c r="V793" s="159"/>
      <c r="W793" s="159"/>
      <c r="X793" s="159"/>
      <c r="AA793" s="159"/>
    </row>
    <row r="794" spans="4:27" s="66" customFormat="1">
      <c r="D794" s="75"/>
      <c r="F794" s="158"/>
      <c r="G794" s="64"/>
      <c r="H794" s="30"/>
      <c r="I794" s="136"/>
      <c r="J794" s="136"/>
      <c r="K794" s="136"/>
      <c r="L794" s="136"/>
      <c r="M794" s="159"/>
      <c r="N794" s="84"/>
      <c r="O794" s="84"/>
      <c r="P794" s="84"/>
      <c r="Q794" s="84"/>
      <c r="R794" s="84"/>
      <c r="S794" s="159"/>
      <c r="T794" s="159"/>
      <c r="U794" s="159"/>
      <c r="V794" s="159"/>
      <c r="W794" s="159"/>
      <c r="X794" s="159"/>
      <c r="AA794" s="159"/>
    </row>
    <row r="795" spans="4:27" s="66" customFormat="1">
      <c r="D795" s="75"/>
      <c r="F795" s="158"/>
      <c r="G795" s="64"/>
      <c r="H795" s="30"/>
      <c r="I795" s="136"/>
      <c r="J795" s="136"/>
      <c r="K795" s="136"/>
      <c r="L795" s="136"/>
      <c r="M795" s="159"/>
      <c r="N795" s="84"/>
      <c r="O795" s="84"/>
      <c r="P795" s="84"/>
      <c r="Q795" s="84"/>
      <c r="R795" s="84"/>
      <c r="S795" s="159"/>
      <c r="T795" s="159"/>
      <c r="U795" s="159"/>
      <c r="V795" s="159"/>
      <c r="W795" s="159"/>
      <c r="X795" s="159"/>
      <c r="AA795" s="159"/>
    </row>
    <row r="796" spans="4:27" s="66" customFormat="1">
      <c r="D796" s="75"/>
      <c r="F796" s="158"/>
      <c r="G796" s="64"/>
      <c r="H796" s="30"/>
      <c r="I796" s="136"/>
      <c r="J796" s="136"/>
      <c r="K796" s="136"/>
      <c r="L796" s="136"/>
      <c r="M796" s="159"/>
      <c r="N796" s="84"/>
      <c r="O796" s="84"/>
      <c r="P796" s="84"/>
      <c r="Q796" s="84"/>
      <c r="R796" s="84"/>
      <c r="S796" s="159"/>
      <c r="T796" s="159"/>
      <c r="U796" s="159"/>
      <c r="V796" s="159"/>
      <c r="W796" s="159"/>
      <c r="X796" s="159"/>
      <c r="AA796" s="159"/>
    </row>
    <row r="797" spans="4:27" s="66" customFormat="1">
      <c r="D797" s="75"/>
      <c r="F797" s="158"/>
      <c r="G797" s="64"/>
      <c r="H797" s="30"/>
      <c r="I797" s="136"/>
      <c r="J797" s="136"/>
      <c r="K797" s="136"/>
      <c r="L797" s="136"/>
      <c r="M797" s="159"/>
      <c r="N797" s="84"/>
      <c r="O797" s="84"/>
      <c r="P797" s="84"/>
      <c r="Q797" s="84"/>
      <c r="R797" s="84"/>
      <c r="S797" s="159"/>
      <c r="T797" s="159"/>
      <c r="U797" s="159"/>
      <c r="V797" s="159"/>
      <c r="W797" s="159"/>
      <c r="X797" s="159"/>
      <c r="AA797" s="159"/>
    </row>
    <row r="798" spans="4:27" s="66" customFormat="1">
      <c r="D798" s="75"/>
      <c r="F798" s="158"/>
      <c r="G798" s="64"/>
      <c r="H798" s="30"/>
      <c r="I798" s="136"/>
      <c r="J798" s="136"/>
      <c r="K798" s="136"/>
      <c r="L798" s="136"/>
      <c r="M798" s="159"/>
      <c r="N798" s="84"/>
      <c r="O798" s="84"/>
      <c r="P798" s="84"/>
      <c r="Q798" s="84"/>
      <c r="R798" s="84"/>
      <c r="S798" s="159"/>
      <c r="T798" s="159"/>
      <c r="U798" s="159"/>
      <c r="V798" s="159"/>
      <c r="W798" s="159"/>
      <c r="X798" s="159"/>
      <c r="AA798" s="159"/>
    </row>
    <row r="799" spans="4:27" s="66" customFormat="1">
      <c r="D799" s="75"/>
      <c r="F799" s="158"/>
      <c r="G799" s="64"/>
      <c r="H799" s="30"/>
      <c r="I799" s="136"/>
      <c r="J799" s="136"/>
      <c r="K799" s="136"/>
      <c r="L799" s="136"/>
      <c r="M799" s="159"/>
      <c r="N799" s="84"/>
      <c r="O799" s="84"/>
      <c r="P799" s="84"/>
      <c r="Q799" s="84"/>
      <c r="R799" s="84"/>
      <c r="S799" s="159"/>
      <c r="T799" s="159"/>
      <c r="U799" s="159"/>
      <c r="V799" s="159"/>
      <c r="W799" s="159"/>
      <c r="X799" s="159"/>
      <c r="AA799" s="159"/>
    </row>
    <row r="800" spans="4:27" s="66" customFormat="1">
      <c r="D800" s="75"/>
      <c r="F800" s="158"/>
      <c r="G800" s="64"/>
      <c r="H800" s="30"/>
      <c r="I800" s="136"/>
      <c r="J800" s="136"/>
      <c r="K800" s="136"/>
      <c r="L800" s="136"/>
      <c r="M800" s="159"/>
      <c r="N800" s="84"/>
      <c r="O800" s="84"/>
      <c r="P800" s="84"/>
      <c r="Q800" s="84"/>
      <c r="R800" s="84"/>
      <c r="S800" s="159"/>
      <c r="T800" s="159"/>
      <c r="U800" s="159"/>
      <c r="V800" s="159"/>
      <c r="W800" s="159"/>
      <c r="X800" s="159"/>
      <c r="AA800" s="159"/>
    </row>
    <row r="801" spans="4:27" s="66" customFormat="1">
      <c r="D801" s="75"/>
      <c r="F801" s="158"/>
      <c r="G801" s="64"/>
      <c r="H801" s="30"/>
      <c r="I801" s="136"/>
      <c r="J801" s="136"/>
      <c r="K801" s="136"/>
      <c r="L801" s="136"/>
      <c r="M801" s="159"/>
      <c r="N801" s="84"/>
      <c r="O801" s="84"/>
      <c r="P801" s="84"/>
      <c r="Q801" s="84"/>
      <c r="R801" s="84"/>
      <c r="S801" s="159"/>
      <c r="T801" s="159"/>
      <c r="U801" s="159"/>
      <c r="V801" s="159"/>
      <c r="W801" s="159"/>
      <c r="X801" s="159"/>
      <c r="AA801" s="159"/>
    </row>
    <row r="802" spans="4:27" s="66" customFormat="1">
      <c r="D802" s="75"/>
      <c r="F802" s="158"/>
      <c r="G802" s="64"/>
      <c r="H802" s="30"/>
      <c r="I802" s="136"/>
      <c r="J802" s="136"/>
      <c r="K802" s="136"/>
      <c r="L802" s="136"/>
      <c r="M802" s="159"/>
      <c r="N802" s="84"/>
      <c r="O802" s="84"/>
      <c r="P802" s="84"/>
      <c r="Q802" s="84"/>
      <c r="R802" s="84"/>
      <c r="S802" s="159"/>
      <c r="T802" s="159"/>
      <c r="U802" s="159"/>
      <c r="V802" s="159"/>
      <c r="W802" s="159"/>
      <c r="X802" s="159"/>
      <c r="AA802" s="159"/>
    </row>
    <row r="803" spans="4:27" s="66" customFormat="1">
      <c r="D803" s="75"/>
      <c r="F803" s="158"/>
      <c r="G803" s="64"/>
      <c r="H803" s="30"/>
      <c r="I803" s="136"/>
      <c r="J803" s="136"/>
      <c r="K803" s="136"/>
      <c r="L803" s="136"/>
      <c r="M803" s="159"/>
      <c r="N803" s="84"/>
      <c r="O803" s="84"/>
      <c r="P803" s="84"/>
      <c r="Q803" s="84"/>
      <c r="R803" s="84"/>
      <c r="S803" s="159"/>
      <c r="T803" s="159"/>
      <c r="U803" s="159"/>
      <c r="V803" s="159"/>
      <c r="W803" s="159"/>
      <c r="X803" s="159"/>
      <c r="AA803" s="159"/>
    </row>
    <row r="804" spans="4:27" s="66" customFormat="1">
      <c r="D804" s="75"/>
      <c r="F804" s="158"/>
      <c r="G804" s="64"/>
      <c r="H804" s="30"/>
      <c r="I804" s="136"/>
      <c r="J804" s="136"/>
      <c r="K804" s="136"/>
      <c r="L804" s="136"/>
      <c r="M804" s="159"/>
      <c r="N804" s="84"/>
      <c r="O804" s="84"/>
      <c r="P804" s="84"/>
      <c r="Q804" s="84"/>
      <c r="R804" s="84"/>
      <c r="S804" s="159"/>
      <c r="T804" s="159"/>
      <c r="U804" s="159"/>
      <c r="V804" s="159"/>
      <c r="W804" s="159"/>
      <c r="X804" s="159"/>
      <c r="AA804" s="159"/>
    </row>
    <row r="805" spans="4:27" s="66" customFormat="1">
      <c r="D805" s="75"/>
      <c r="F805" s="158"/>
      <c r="G805" s="64"/>
      <c r="H805" s="30"/>
      <c r="I805" s="136"/>
      <c r="J805" s="136"/>
      <c r="K805" s="136"/>
      <c r="L805" s="136"/>
      <c r="M805" s="159"/>
      <c r="N805" s="84"/>
      <c r="O805" s="84"/>
      <c r="P805" s="84"/>
      <c r="Q805" s="84"/>
      <c r="R805" s="84"/>
      <c r="S805" s="159"/>
      <c r="T805" s="159"/>
      <c r="U805" s="159"/>
      <c r="V805" s="159"/>
      <c r="W805" s="159"/>
      <c r="X805" s="159"/>
      <c r="AA805" s="159"/>
    </row>
    <row r="806" spans="4:27" s="66" customFormat="1">
      <c r="D806" s="75"/>
      <c r="F806" s="158"/>
      <c r="G806" s="64"/>
      <c r="H806" s="30"/>
      <c r="I806" s="136"/>
      <c r="J806" s="136"/>
      <c r="K806" s="136"/>
      <c r="L806" s="136"/>
      <c r="M806" s="159"/>
      <c r="N806" s="84"/>
      <c r="O806" s="84"/>
      <c r="P806" s="84"/>
      <c r="Q806" s="84"/>
      <c r="R806" s="84"/>
      <c r="S806" s="159"/>
      <c r="T806" s="159"/>
      <c r="U806" s="159"/>
      <c r="V806" s="159"/>
      <c r="W806" s="159"/>
      <c r="X806" s="159"/>
      <c r="AA806" s="159"/>
    </row>
    <row r="807" spans="4:27" s="66" customFormat="1">
      <c r="D807" s="75"/>
      <c r="F807" s="158"/>
      <c r="G807" s="64"/>
      <c r="H807" s="30"/>
      <c r="I807" s="136"/>
      <c r="J807" s="136"/>
      <c r="K807" s="136"/>
      <c r="L807" s="136"/>
      <c r="M807" s="159"/>
      <c r="N807" s="84"/>
      <c r="O807" s="84"/>
      <c r="P807" s="84"/>
      <c r="Q807" s="84"/>
      <c r="R807" s="84"/>
      <c r="S807" s="159"/>
      <c r="T807" s="159"/>
      <c r="U807" s="159"/>
      <c r="V807" s="159"/>
      <c r="W807" s="159"/>
      <c r="X807" s="159"/>
      <c r="AA807" s="159"/>
    </row>
    <row r="808" spans="4:27" s="66" customFormat="1">
      <c r="D808" s="75"/>
      <c r="F808" s="158"/>
      <c r="G808" s="64"/>
      <c r="H808" s="30"/>
      <c r="I808" s="136"/>
      <c r="J808" s="136"/>
      <c r="K808" s="136"/>
      <c r="L808" s="136"/>
      <c r="M808" s="159"/>
      <c r="N808" s="84"/>
      <c r="O808" s="84"/>
      <c r="P808" s="84"/>
      <c r="Q808" s="84"/>
      <c r="R808" s="84"/>
      <c r="S808" s="159"/>
      <c r="T808" s="159"/>
      <c r="U808" s="159"/>
      <c r="V808" s="159"/>
      <c r="W808" s="159"/>
      <c r="X808" s="159"/>
      <c r="AA808" s="159"/>
    </row>
    <row r="809" spans="4:27" s="66" customFormat="1">
      <c r="D809" s="75"/>
      <c r="F809" s="158"/>
      <c r="G809" s="64"/>
      <c r="H809" s="30"/>
      <c r="I809" s="136"/>
      <c r="J809" s="136"/>
      <c r="K809" s="136"/>
      <c r="L809" s="136"/>
      <c r="M809" s="159"/>
      <c r="N809" s="84"/>
      <c r="O809" s="84"/>
      <c r="P809" s="84"/>
      <c r="Q809" s="84"/>
      <c r="R809" s="84"/>
      <c r="S809" s="159"/>
      <c r="T809" s="159"/>
      <c r="U809" s="159"/>
      <c r="V809" s="159"/>
      <c r="W809" s="159"/>
      <c r="X809" s="159"/>
      <c r="AA809" s="159"/>
    </row>
    <row r="810" spans="4:27" s="66" customFormat="1">
      <c r="D810" s="75"/>
      <c r="F810" s="158"/>
      <c r="G810" s="64"/>
      <c r="H810" s="30"/>
      <c r="I810" s="136"/>
      <c r="J810" s="136"/>
      <c r="K810" s="136"/>
      <c r="L810" s="136"/>
      <c r="M810" s="159"/>
      <c r="N810" s="84"/>
      <c r="O810" s="84"/>
      <c r="P810" s="84"/>
      <c r="Q810" s="84"/>
      <c r="R810" s="84"/>
      <c r="S810" s="159"/>
      <c r="T810" s="159"/>
      <c r="U810" s="159"/>
      <c r="V810" s="159"/>
      <c r="W810" s="159"/>
      <c r="X810" s="159"/>
      <c r="AA810" s="159"/>
    </row>
    <row r="811" spans="4:27" s="66" customFormat="1">
      <c r="D811" s="75"/>
      <c r="F811" s="158"/>
      <c r="G811" s="64"/>
      <c r="H811" s="30"/>
      <c r="I811" s="136"/>
      <c r="J811" s="136"/>
      <c r="K811" s="136"/>
      <c r="L811" s="136"/>
      <c r="M811" s="159"/>
      <c r="N811" s="84"/>
      <c r="O811" s="84"/>
      <c r="P811" s="84"/>
      <c r="Q811" s="84"/>
      <c r="R811" s="84"/>
      <c r="S811" s="159"/>
      <c r="T811" s="159"/>
      <c r="U811" s="159"/>
      <c r="V811" s="159"/>
      <c r="W811" s="159"/>
      <c r="X811" s="159"/>
      <c r="AA811" s="159"/>
    </row>
    <row r="812" spans="4:27" s="66" customFormat="1">
      <c r="D812" s="75"/>
      <c r="F812" s="158"/>
      <c r="G812" s="64"/>
      <c r="H812" s="30"/>
      <c r="I812" s="136"/>
      <c r="J812" s="136"/>
      <c r="K812" s="136"/>
      <c r="L812" s="136"/>
      <c r="M812" s="159"/>
      <c r="N812" s="84"/>
      <c r="O812" s="84"/>
      <c r="P812" s="84"/>
      <c r="Q812" s="84"/>
      <c r="R812" s="84"/>
      <c r="S812" s="159"/>
      <c r="T812" s="159"/>
      <c r="U812" s="159"/>
      <c r="V812" s="159"/>
      <c r="W812" s="159"/>
      <c r="X812" s="159"/>
      <c r="AA812" s="159"/>
    </row>
    <row r="813" spans="4:27" s="66" customFormat="1">
      <c r="D813" s="75"/>
      <c r="F813" s="158"/>
      <c r="G813" s="64"/>
      <c r="H813" s="30"/>
      <c r="I813" s="136"/>
      <c r="J813" s="136"/>
      <c r="K813" s="136"/>
      <c r="L813" s="136"/>
      <c r="M813" s="159"/>
      <c r="N813" s="84"/>
      <c r="O813" s="84"/>
      <c r="P813" s="84"/>
      <c r="Q813" s="84"/>
      <c r="R813" s="84"/>
      <c r="S813" s="159"/>
      <c r="T813" s="159"/>
      <c r="U813" s="159"/>
      <c r="V813" s="159"/>
      <c r="W813" s="159"/>
      <c r="X813" s="159"/>
      <c r="AA813" s="159"/>
    </row>
    <row r="814" spans="4:27" s="66" customFormat="1">
      <c r="D814" s="75"/>
      <c r="F814" s="158"/>
      <c r="G814" s="64"/>
      <c r="H814" s="30"/>
      <c r="I814" s="136"/>
      <c r="J814" s="136"/>
      <c r="K814" s="136"/>
      <c r="L814" s="136"/>
      <c r="M814" s="159"/>
      <c r="N814" s="84"/>
      <c r="O814" s="84"/>
      <c r="P814" s="84"/>
      <c r="Q814" s="84"/>
      <c r="R814" s="84"/>
      <c r="S814" s="159"/>
      <c r="T814" s="159"/>
      <c r="U814" s="159"/>
      <c r="V814" s="159"/>
      <c r="W814" s="159"/>
      <c r="X814" s="159"/>
      <c r="AA814" s="159"/>
    </row>
    <row r="815" spans="4:27" s="66" customFormat="1">
      <c r="D815" s="75"/>
      <c r="F815" s="158"/>
      <c r="G815" s="64"/>
      <c r="H815" s="30"/>
      <c r="I815" s="136"/>
      <c r="J815" s="136"/>
      <c r="K815" s="136"/>
      <c r="L815" s="136"/>
      <c r="M815" s="159"/>
      <c r="N815" s="84"/>
      <c r="O815" s="84"/>
      <c r="P815" s="84"/>
      <c r="Q815" s="84"/>
      <c r="R815" s="84"/>
      <c r="S815" s="159"/>
      <c r="T815" s="159"/>
      <c r="U815" s="159"/>
      <c r="V815" s="159"/>
      <c r="W815" s="159"/>
      <c r="X815" s="159"/>
      <c r="AA815" s="159"/>
    </row>
    <row r="816" spans="4:27" s="66" customFormat="1">
      <c r="D816" s="75"/>
      <c r="F816" s="158"/>
      <c r="G816" s="64"/>
      <c r="H816" s="30"/>
      <c r="I816" s="136"/>
      <c r="J816" s="136"/>
      <c r="K816" s="136"/>
      <c r="L816" s="136"/>
      <c r="M816" s="159"/>
      <c r="N816" s="84"/>
      <c r="O816" s="84"/>
      <c r="P816" s="84"/>
      <c r="Q816" s="84"/>
      <c r="R816" s="84"/>
      <c r="S816" s="159"/>
      <c r="T816" s="159"/>
      <c r="U816" s="159"/>
      <c r="V816" s="159"/>
      <c r="W816" s="159"/>
      <c r="X816" s="159"/>
      <c r="AA816" s="159"/>
    </row>
    <row r="817" spans="4:27" s="66" customFormat="1">
      <c r="D817" s="75"/>
      <c r="F817" s="158"/>
      <c r="G817" s="64"/>
      <c r="H817" s="30"/>
      <c r="I817" s="136"/>
      <c r="J817" s="136"/>
      <c r="K817" s="136"/>
      <c r="L817" s="136"/>
      <c r="M817" s="159"/>
      <c r="N817" s="84"/>
      <c r="O817" s="84"/>
      <c r="P817" s="84"/>
      <c r="Q817" s="84"/>
      <c r="R817" s="84"/>
      <c r="S817" s="159"/>
      <c r="T817" s="159"/>
      <c r="U817" s="159"/>
      <c r="V817" s="159"/>
      <c r="W817" s="159"/>
      <c r="X817" s="159"/>
      <c r="AA817" s="159"/>
    </row>
    <row r="818" spans="4:27" s="66" customFormat="1">
      <c r="D818" s="75"/>
      <c r="F818" s="158"/>
      <c r="G818" s="64"/>
      <c r="H818" s="30"/>
      <c r="I818" s="136"/>
      <c r="J818" s="136"/>
      <c r="K818" s="136"/>
      <c r="L818" s="136"/>
      <c r="M818" s="159"/>
      <c r="N818" s="84"/>
      <c r="O818" s="84"/>
      <c r="P818" s="84"/>
      <c r="Q818" s="84"/>
      <c r="R818" s="84"/>
      <c r="S818" s="159"/>
      <c r="T818" s="159"/>
      <c r="U818" s="159"/>
      <c r="V818" s="159"/>
      <c r="W818" s="159"/>
      <c r="X818" s="159"/>
      <c r="AA818" s="159"/>
    </row>
    <row r="819" spans="4:27" s="66" customFormat="1">
      <c r="D819" s="75"/>
      <c r="F819" s="158"/>
      <c r="G819" s="64"/>
      <c r="H819" s="30"/>
      <c r="I819" s="136"/>
      <c r="J819" s="136"/>
      <c r="K819" s="136"/>
      <c r="L819" s="136"/>
      <c r="M819" s="159"/>
      <c r="N819" s="84"/>
      <c r="O819" s="84"/>
      <c r="P819" s="84"/>
      <c r="Q819" s="84"/>
      <c r="R819" s="84"/>
      <c r="S819" s="159"/>
      <c r="T819" s="159"/>
      <c r="U819" s="159"/>
      <c r="V819" s="159"/>
      <c r="W819" s="159"/>
      <c r="X819" s="159"/>
      <c r="AA819" s="159"/>
    </row>
    <row r="820" spans="4:27" s="66" customFormat="1">
      <c r="D820" s="75"/>
      <c r="F820" s="158"/>
      <c r="G820" s="64"/>
      <c r="H820" s="30"/>
      <c r="I820" s="136"/>
      <c r="J820" s="136"/>
      <c r="K820" s="136"/>
      <c r="L820" s="136"/>
      <c r="M820" s="159"/>
      <c r="N820" s="84"/>
      <c r="O820" s="84"/>
      <c r="P820" s="84"/>
      <c r="Q820" s="84"/>
      <c r="R820" s="84"/>
      <c r="S820" s="159"/>
      <c r="T820" s="159"/>
      <c r="U820" s="159"/>
      <c r="V820" s="159"/>
      <c r="W820" s="159"/>
      <c r="X820" s="159"/>
      <c r="AA820" s="159"/>
    </row>
    <row r="821" spans="4:27" s="66" customFormat="1">
      <c r="D821" s="75"/>
      <c r="F821" s="158"/>
      <c r="G821" s="64"/>
      <c r="H821" s="30"/>
      <c r="I821" s="136"/>
      <c r="J821" s="136"/>
      <c r="K821" s="136"/>
      <c r="L821" s="136"/>
      <c r="M821" s="159"/>
      <c r="N821" s="84"/>
      <c r="O821" s="84"/>
      <c r="P821" s="84"/>
      <c r="Q821" s="84"/>
      <c r="R821" s="84"/>
      <c r="S821" s="159"/>
      <c r="T821" s="159"/>
      <c r="U821" s="159"/>
      <c r="V821" s="159"/>
      <c r="W821" s="159"/>
      <c r="X821" s="159"/>
      <c r="AA821" s="159"/>
    </row>
    <row r="822" spans="4:27" s="66" customFormat="1">
      <c r="D822" s="75"/>
      <c r="F822" s="158"/>
      <c r="G822" s="64"/>
      <c r="H822" s="30"/>
      <c r="I822" s="136"/>
      <c r="J822" s="136"/>
      <c r="K822" s="136"/>
      <c r="L822" s="136"/>
      <c r="M822" s="159"/>
      <c r="N822" s="84"/>
      <c r="O822" s="84"/>
      <c r="P822" s="84"/>
      <c r="Q822" s="84"/>
      <c r="R822" s="84"/>
      <c r="S822" s="159"/>
      <c r="T822" s="159"/>
      <c r="U822" s="159"/>
      <c r="V822" s="159"/>
      <c r="W822" s="159"/>
      <c r="X822" s="159"/>
      <c r="AA822" s="159"/>
    </row>
    <row r="823" spans="4:27" s="66" customFormat="1">
      <c r="D823" s="75"/>
      <c r="F823" s="158"/>
      <c r="G823" s="64"/>
      <c r="H823" s="30"/>
      <c r="I823" s="136"/>
      <c r="J823" s="136"/>
      <c r="K823" s="136"/>
      <c r="L823" s="136"/>
      <c r="M823" s="159"/>
      <c r="N823" s="84"/>
      <c r="O823" s="84"/>
      <c r="P823" s="84"/>
      <c r="Q823" s="84"/>
      <c r="R823" s="84"/>
      <c r="S823" s="159"/>
      <c r="T823" s="159"/>
      <c r="U823" s="159"/>
      <c r="V823" s="159"/>
      <c r="W823" s="159"/>
      <c r="X823" s="159"/>
      <c r="AA823" s="159"/>
    </row>
    <row r="824" spans="4:27" s="66" customFormat="1">
      <c r="D824" s="75"/>
      <c r="F824" s="158"/>
      <c r="G824" s="64"/>
      <c r="H824" s="30"/>
      <c r="I824" s="136"/>
      <c r="J824" s="136"/>
      <c r="K824" s="136"/>
      <c r="L824" s="136"/>
      <c r="M824" s="159"/>
      <c r="N824" s="84"/>
      <c r="O824" s="84"/>
      <c r="P824" s="84"/>
      <c r="Q824" s="84"/>
      <c r="R824" s="84"/>
      <c r="S824" s="159"/>
      <c r="T824" s="159"/>
      <c r="U824" s="159"/>
      <c r="V824" s="159"/>
      <c r="W824" s="159"/>
      <c r="X824" s="159"/>
      <c r="AA824" s="159"/>
    </row>
    <row r="825" spans="4:27" s="66" customFormat="1">
      <c r="D825" s="75"/>
      <c r="F825" s="158"/>
      <c r="G825" s="64"/>
      <c r="H825" s="30"/>
      <c r="I825" s="136"/>
      <c r="J825" s="136"/>
      <c r="K825" s="136"/>
      <c r="L825" s="136"/>
      <c r="M825" s="159"/>
      <c r="N825" s="84"/>
      <c r="O825" s="84"/>
      <c r="P825" s="84"/>
      <c r="Q825" s="84"/>
      <c r="R825" s="84"/>
      <c r="S825" s="159"/>
      <c r="T825" s="159"/>
      <c r="U825" s="159"/>
      <c r="V825" s="159"/>
      <c r="W825" s="159"/>
      <c r="X825" s="159"/>
      <c r="AA825" s="159"/>
    </row>
    <row r="826" spans="4:27" s="66" customFormat="1">
      <c r="D826" s="75"/>
      <c r="F826" s="158"/>
      <c r="G826" s="64"/>
      <c r="H826" s="30"/>
      <c r="I826" s="136"/>
      <c r="J826" s="136"/>
      <c r="K826" s="136"/>
      <c r="L826" s="136"/>
      <c r="M826" s="159"/>
      <c r="N826" s="84"/>
      <c r="O826" s="84"/>
      <c r="P826" s="84"/>
      <c r="Q826" s="84"/>
      <c r="R826" s="84"/>
      <c r="S826" s="159"/>
      <c r="T826" s="159"/>
      <c r="U826" s="159"/>
      <c r="V826" s="159"/>
      <c r="W826" s="159"/>
      <c r="X826" s="159"/>
      <c r="AA826" s="159"/>
    </row>
    <row r="827" spans="4:27" s="66" customFormat="1">
      <c r="D827" s="75"/>
      <c r="F827" s="158"/>
      <c r="G827" s="64"/>
      <c r="H827" s="30"/>
      <c r="I827" s="136"/>
      <c r="J827" s="136"/>
      <c r="K827" s="136"/>
      <c r="L827" s="136"/>
      <c r="M827" s="159"/>
      <c r="N827" s="84"/>
      <c r="O827" s="84"/>
      <c r="P827" s="84"/>
      <c r="Q827" s="84"/>
      <c r="R827" s="84"/>
      <c r="S827" s="159"/>
      <c r="T827" s="159"/>
      <c r="U827" s="159"/>
      <c r="V827" s="159"/>
      <c r="W827" s="159"/>
      <c r="X827" s="159"/>
      <c r="AA827" s="159"/>
    </row>
    <row r="828" spans="4:27" s="66" customFormat="1">
      <c r="D828" s="75"/>
      <c r="F828" s="158"/>
      <c r="G828" s="64"/>
      <c r="H828" s="30"/>
      <c r="I828" s="136"/>
      <c r="J828" s="136"/>
      <c r="K828" s="136"/>
      <c r="L828" s="136"/>
      <c r="M828" s="159"/>
      <c r="N828" s="84"/>
      <c r="O828" s="84"/>
      <c r="P828" s="84"/>
      <c r="Q828" s="84"/>
      <c r="R828" s="84"/>
      <c r="S828" s="159"/>
      <c r="T828" s="159"/>
      <c r="U828" s="159"/>
      <c r="V828" s="159"/>
      <c r="W828" s="159"/>
      <c r="X828" s="159"/>
      <c r="AA828" s="159"/>
    </row>
    <row r="829" spans="4:27" s="66" customFormat="1">
      <c r="D829" s="75"/>
      <c r="F829" s="158"/>
      <c r="G829" s="64"/>
      <c r="H829" s="30"/>
      <c r="I829" s="136"/>
      <c r="J829" s="136"/>
      <c r="K829" s="136"/>
      <c r="L829" s="136"/>
      <c r="M829" s="159"/>
      <c r="N829" s="84"/>
      <c r="O829" s="84"/>
      <c r="P829" s="84"/>
      <c r="Q829" s="84"/>
      <c r="R829" s="84"/>
      <c r="S829" s="159"/>
      <c r="T829" s="159"/>
      <c r="U829" s="159"/>
      <c r="V829" s="159"/>
      <c r="W829" s="159"/>
      <c r="X829" s="159"/>
      <c r="AA829" s="159"/>
    </row>
    <row r="830" spans="4:27" s="66" customFormat="1">
      <c r="D830" s="75"/>
      <c r="F830" s="158"/>
      <c r="G830" s="64"/>
      <c r="H830" s="30"/>
      <c r="I830" s="136"/>
      <c r="J830" s="136"/>
      <c r="K830" s="136"/>
      <c r="L830" s="136"/>
      <c r="M830" s="159"/>
      <c r="N830" s="84"/>
      <c r="O830" s="84"/>
      <c r="P830" s="84"/>
      <c r="Q830" s="84"/>
      <c r="R830" s="84"/>
      <c r="S830" s="159"/>
      <c r="T830" s="159"/>
      <c r="U830" s="159"/>
      <c r="V830" s="159"/>
      <c r="W830" s="159"/>
      <c r="X830" s="159"/>
      <c r="AA830" s="159"/>
    </row>
    <row r="831" spans="4:27" s="66" customFormat="1">
      <c r="D831" s="75"/>
      <c r="F831" s="158"/>
      <c r="G831" s="64"/>
      <c r="H831" s="30"/>
      <c r="I831" s="136"/>
      <c r="J831" s="136"/>
      <c r="K831" s="136"/>
      <c r="L831" s="136"/>
      <c r="M831" s="159"/>
      <c r="N831" s="84"/>
      <c r="O831" s="84"/>
      <c r="P831" s="84"/>
      <c r="Q831" s="84"/>
      <c r="R831" s="84"/>
      <c r="S831" s="159"/>
      <c r="T831" s="159"/>
      <c r="U831" s="159"/>
      <c r="V831" s="159"/>
      <c r="W831" s="159"/>
      <c r="X831" s="159"/>
      <c r="AA831" s="159"/>
    </row>
    <row r="832" spans="4:27" s="66" customFormat="1">
      <c r="D832" s="75"/>
      <c r="F832" s="158"/>
      <c r="G832" s="64"/>
      <c r="H832" s="30"/>
      <c r="I832" s="136"/>
      <c r="J832" s="136"/>
      <c r="K832" s="136"/>
      <c r="L832" s="136"/>
      <c r="M832" s="159"/>
      <c r="N832" s="84"/>
      <c r="O832" s="84"/>
      <c r="P832" s="84"/>
      <c r="Q832" s="84"/>
      <c r="R832" s="84"/>
      <c r="S832" s="159"/>
      <c r="T832" s="159"/>
      <c r="U832" s="159"/>
      <c r="V832" s="159"/>
      <c r="W832" s="159"/>
      <c r="X832" s="159"/>
      <c r="AA832" s="159"/>
    </row>
    <row r="833" spans="4:27" s="66" customFormat="1">
      <c r="D833" s="75"/>
      <c r="F833" s="158"/>
      <c r="G833" s="64"/>
      <c r="H833" s="30"/>
      <c r="I833" s="136"/>
      <c r="J833" s="136"/>
      <c r="K833" s="136"/>
      <c r="L833" s="136"/>
      <c r="M833" s="159"/>
      <c r="N833" s="84"/>
      <c r="O833" s="84"/>
      <c r="P833" s="84"/>
      <c r="Q833" s="84"/>
      <c r="R833" s="84"/>
      <c r="S833" s="159"/>
      <c r="T833" s="159"/>
      <c r="U833" s="159"/>
      <c r="V833" s="159"/>
      <c r="W833" s="159"/>
      <c r="X833" s="159"/>
      <c r="AA833" s="159"/>
    </row>
    <row r="834" spans="4:27" s="66" customFormat="1">
      <c r="D834" s="75"/>
      <c r="F834" s="158"/>
      <c r="G834" s="64"/>
      <c r="H834" s="30"/>
      <c r="I834" s="136"/>
      <c r="J834" s="136"/>
      <c r="K834" s="136"/>
      <c r="L834" s="136"/>
      <c r="M834" s="159"/>
      <c r="N834" s="84"/>
      <c r="O834" s="84"/>
      <c r="P834" s="84"/>
      <c r="Q834" s="84"/>
      <c r="R834" s="84"/>
      <c r="S834" s="159"/>
      <c r="T834" s="159"/>
      <c r="U834" s="159"/>
      <c r="V834" s="159"/>
      <c r="W834" s="159"/>
      <c r="X834" s="159"/>
      <c r="AA834" s="159"/>
    </row>
    <row r="835" spans="4:27" s="66" customFormat="1">
      <c r="D835" s="75"/>
      <c r="F835" s="158"/>
      <c r="G835" s="64"/>
      <c r="H835" s="30"/>
      <c r="I835" s="136"/>
      <c r="J835" s="136"/>
      <c r="K835" s="136"/>
      <c r="L835" s="136"/>
      <c r="M835" s="159"/>
      <c r="N835" s="84"/>
      <c r="O835" s="84"/>
      <c r="P835" s="84"/>
      <c r="Q835" s="84"/>
      <c r="R835" s="84"/>
      <c r="S835" s="159"/>
      <c r="T835" s="159"/>
      <c r="U835" s="159"/>
      <c r="V835" s="159"/>
      <c r="W835" s="159"/>
      <c r="X835" s="159"/>
      <c r="AA835" s="159"/>
    </row>
    <row r="836" spans="4:27" s="66" customFormat="1">
      <c r="D836" s="75"/>
      <c r="F836" s="158"/>
      <c r="G836" s="64"/>
      <c r="H836" s="30"/>
      <c r="I836" s="136"/>
      <c r="J836" s="136"/>
      <c r="K836" s="136"/>
      <c r="L836" s="136"/>
      <c r="M836" s="159"/>
      <c r="N836" s="84"/>
      <c r="O836" s="84"/>
      <c r="P836" s="84"/>
      <c r="Q836" s="84"/>
      <c r="R836" s="84"/>
      <c r="S836" s="159"/>
      <c r="T836" s="159"/>
      <c r="U836" s="159"/>
      <c r="V836" s="159"/>
      <c r="W836" s="159"/>
      <c r="X836" s="159"/>
      <c r="AA836" s="159"/>
    </row>
    <row r="837" spans="4:27" s="66" customFormat="1">
      <c r="D837" s="75"/>
      <c r="F837" s="158"/>
      <c r="G837" s="64"/>
      <c r="H837" s="30"/>
      <c r="I837" s="136"/>
      <c r="J837" s="136"/>
      <c r="K837" s="136"/>
      <c r="L837" s="136"/>
      <c r="M837" s="159"/>
      <c r="N837" s="84"/>
      <c r="O837" s="84"/>
      <c r="P837" s="84"/>
      <c r="Q837" s="84"/>
      <c r="R837" s="84"/>
      <c r="S837" s="159"/>
      <c r="T837" s="159"/>
      <c r="U837" s="159"/>
      <c r="V837" s="159"/>
      <c r="W837" s="159"/>
      <c r="X837" s="159"/>
      <c r="AA837" s="159"/>
    </row>
    <row r="838" spans="4:27" s="66" customFormat="1">
      <c r="D838" s="75"/>
      <c r="F838" s="158"/>
      <c r="G838" s="64"/>
      <c r="H838" s="30"/>
      <c r="I838" s="136"/>
      <c r="J838" s="136"/>
      <c r="K838" s="136"/>
      <c r="L838" s="136"/>
      <c r="M838" s="159"/>
      <c r="N838" s="84"/>
      <c r="O838" s="84"/>
      <c r="P838" s="84"/>
      <c r="Q838" s="84"/>
      <c r="R838" s="84"/>
      <c r="S838" s="159"/>
      <c r="T838" s="159"/>
      <c r="U838" s="159"/>
      <c r="V838" s="159"/>
      <c r="W838" s="159"/>
      <c r="X838" s="159"/>
      <c r="AA838" s="159"/>
    </row>
    <row r="839" spans="4:27" s="66" customFormat="1">
      <c r="D839" s="75"/>
      <c r="F839" s="158"/>
      <c r="G839" s="64"/>
      <c r="H839" s="30"/>
      <c r="I839" s="136"/>
      <c r="J839" s="136"/>
      <c r="K839" s="136"/>
      <c r="L839" s="136"/>
      <c r="M839" s="159"/>
      <c r="N839" s="84"/>
      <c r="O839" s="84"/>
      <c r="P839" s="84"/>
      <c r="Q839" s="84"/>
      <c r="R839" s="84"/>
      <c r="S839" s="159"/>
      <c r="T839" s="159"/>
      <c r="U839" s="159"/>
      <c r="V839" s="159"/>
      <c r="W839" s="159"/>
      <c r="X839" s="159"/>
      <c r="AA839" s="159"/>
    </row>
    <row r="840" spans="4:27" s="66" customFormat="1">
      <c r="D840" s="75"/>
      <c r="F840" s="158"/>
      <c r="G840" s="64"/>
      <c r="H840" s="30"/>
      <c r="I840" s="136"/>
      <c r="J840" s="136"/>
      <c r="K840" s="136"/>
      <c r="L840" s="136"/>
      <c r="M840" s="159"/>
      <c r="N840" s="84"/>
      <c r="O840" s="84"/>
      <c r="P840" s="84"/>
      <c r="Q840" s="84"/>
      <c r="R840" s="84"/>
      <c r="S840" s="159"/>
      <c r="T840" s="159"/>
      <c r="U840" s="159"/>
      <c r="V840" s="159"/>
      <c r="W840" s="159"/>
      <c r="X840" s="159"/>
      <c r="AA840" s="159"/>
    </row>
    <row r="841" spans="4:27" s="66" customFormat="1">
      <c r="D841" s="75"/>
      <c r="F841" s="158"/>
      <c r="G841" s="64"/>
      <c r="H841" s="30"/>
      <c r="I841" s="136"/>
      <c r="J841" s="136"/>
      <c r="K841" s="136"/>
      <c r="L841" s="136"/>
      <c r="M841" s="159"/>
      <c r="N841" s="84"/>
      <c r="O841" s="84"/>
      <c r="P841" s="84"/>
      <c r="Q841" s="84"/>
      <c r="R841" s="84"/>
      <c r="S841" s="159"/>
      <c r="T841" s="159"/>
      <c r="U841" s="159"/>
      <c r="V841" s="159"/>
      <c r="W841" s="159"/>
      <c r="X841" s="159"/>
      <c r="AA841" s="159"/>
    </row>
    <row r="842" spans="4:27" s="66" customFormat="1">
      <c r="D842" s="75"/>
      <c r="F842" s="158"/>
      <c r="G842" s="64"/>
      <c r="H842" s="30"/>
      <c r="I842" s="136"/>
      <c r="J842" s="136"/>
      <c r="K842" s="136"/>
      <c r="L842" s="136"/>
      <c r="M842" s="159"/>
      <c r="N842" s="84"/>
      <c r="O842" s="84"/>
      <c r="P842" s="84"/>
      <c r="Q842" s="84"/>
      <c r="R842" s="84"/>
      <c r="S842" s="159"/>
      <c r="T842" s="159"/>
      <c r="U842" s="159"/>
      <c r="V842" s="159"/>
      <c r="W842" s="159"/>
      <c r="X842" s="159"/>
      <c r="AA842" s="159"/>
    </row>
    <row r="843" spans="4:27" s="66" customFormat="1">
      <c r="D843" s="75"/>
      <c r="F843" s="158"/>
      <c r="G843" s="64"/>
      <c r="H843" s="30"/>
      <c r="I843" s="136"/>
      <c r="J843" s="136"/>
      <c r="K843" s="136"/>
      <c r="L843" s="136"/>
      <c r="M843" s="159"/>
      <c r="N843" s="84"/>
      <c r="O843" s="84"/>
      <c r="P843" s="84"/>
      <c r="Q843" s="84"/>
      <c r="R843" s="84"/>
      <c r="S843" s="159"/>
      <c r="T843" s="159"/>
      <c r="U843" s="159"/>
      <c r="V843" s="159"/>
      <c r="W843" s="159"/>
      <c r="X843" s="159"/>
      <c r="AA843" s="159"/>
    </row>
    <row r="844" spans="4:27" s="66" customFormat="1">
      <c r="D844" s="75"/>
      <c r="F844" s="158"/>
      <c r="G844" s="64"/>
      <c r="H844" s="30"/>
      <c r="I844" s="136"/>
      <c r="J844" s="136"/>
      <c r="K844" s="136"/>
      <c r="L844" s="136"/>
      <c r="M844" s="159"/>
      <c r="N844" s="84"/>
      <c r="O844" s="84"/>
      <c r="P844" s="84"/>
      <c r="Q844" s="84"/>
      <c r="R844" s="84"/>
      <c r="S844" s="159"/>
      <c r="T844" s="159"/>
      <c r="U844" s="159"/>
      <c r="V844" s="159"/>
      <c r="W844" s="159"/>
      <c r="X844" s="159"/>
      <c r="AA844" s="159"/>
    </row>
    <row r="845" spans="4:27" s="66" customFormat="1">
      <c r="D845" s="75"/>
      <c r="F845" s="158"/>
      <c r="G845" s="64"/>
      <c r="H845" s="30"/>
      <c r="I845" s="136"/>
      <c r="J845" s="136"/>
      <c r="K845" s="136"/>
      <c r="L845" s="136"/>
      <c r="M845" s="159"/>
      <c r="N845" s="84"/>
      <c r="O845" s="84"/>
      <c r="P845" s="84"/>
      <c r="Q845" s="84"/>
      <c r="R845" s="84"/>
      <c r="S845" s="159"/>
      <c r="T845" s="159"/>
      <c r="U845" s="159"/>
      <c r="V845" s="159"/>
      <c r="W845" s="159"/>
      <c r="X845" s="159"/>
      <c r="AA845" s="159"/>
    </row>
    <row r="846" spans="4:27" s="66" customFormat="1">
      <c r="D846" s="75"/>
      <c r="F846" s="158"/>
      <c r="G846" s="64"/>
      <c r="H846" s="30"/>
      <c r="I846" s="136"/>
      <c r="J846" s="136"/>
      <c r="K846" s="136"/>
      <c r="L846" s="136"/>
      <c r="M846" s="159"/>
      <c r="N846" s="84"/>
      <c r="O846" s="84"/>
      <c r="P846" s="84"/>
      <c r="Q846" s="84"/>
      <c r="R846" s="84"/>
      <c r="S846" s="159"/>
      <c r="T846" s="159"/>
      <c r="U846" s="159"/>
      <c r="V846" s="159"/>
      <c r="W846" s="159"/>
      <c r="X846" s="159"/>
      <c r="AA846" s="159"/>
    </row>
    <row r="847" spans="4:27" s="66" customFormat="1">
      <c r="D847" s="75"/>
      <c r="F847" s="158"/>
      <c r="G847" s="64"/>
      <c r="H847" s="30"/>
      <c r="I847" s="136"/>
      <c r="J847" s="136"/>
      <c r="K847" s="136"/>
      <c r="L847" s="136"/>
      <c r="M847" s="159"/>
      <c r="N847" s="84"/>
      <c r="O847" s="84"/>
      <c r="P847" s="84"/>
      <c r="Q847" s="84"/>
      <c r="R847" s="84"/>
      <c r="S847" s="159"/>
      <c r="T847" s="159"/>
      <c r="U847" s="159"/>
      <c r="V847" s="159"/>
      <c r="W847" s="159"/>
      <c r="X847" s="159"/>
      <c r="AA847" s="159"/>
    </row>
    <row r="848" spans="4:27" s="66" customFormat="1">
      <c r="D848" s="75"/>
      <c r="F848" s="158"/>
      <c r="G848" s="64"/>
      <c r="H848" s="30"/>
      <c r="I848" s="136"/>
      <c r="J848" s="136"/>
      <c r="K848" s="136"/>
      <c r="L848" s="136"/>
      <c r="M848" s="159"/>
      <c r="N848" s="84"/>
      <c r="O848" s="84"/>
      <c r="P848" s="84"/>
      <c r="Q848" s="84"/>
      <c r="R848" s="84"/>
      <c r="S848" s="159"/>
      <c r="T848" s="159"/>
      <c r="U848" s="159"/>
      <c r="V848" s="159"/>
      <c r="W848" s="159"/>
      <c r="X848" s="159"/>
      <c r="AA848" s="159"/>
    </row>
    <row r="849" spans="4:27" s="66" customFormat="1">
      <c r="D849" s="75"/>
      <c r="F849" s="158"/>
      <c r="G849" s="64"/>
      <c r="H849" s="30"/>
      <c r="I849" s="136"/>
      <c r="J849" s="136"/>
      <c r="K849" s="136"/>
      <c r="L849" s="136"/>
      <c r="M849" s="159"/>
      <c r="N849" s="84"/>
      <c r="O849" s="84"/>
      <c r="P849" s="84"/>
      <c r="Q849" s="84"/>
      <c r="R849" s="84"/>
      <c r="S849" s="159"/>
      <c r="T849" s="159"/>
      <c r="U849" s="159"/>
      <c r="V849" s="159"/>
      <c r="W849" s="159"/>
      <c r="X849" s="159"/>
      <c r="AA849" s="159"/>
    </row>
    <row r="850" spans="4:27" s="66" customFormat="1">
      <c r="D850" s="75"/>
      <c r="F850" s="158"/>
      <c r="G850" s="64"/>
      <c r="H850" s="30"/>
      <c r="I850" s="136"/>
      <c r="J850" s="136"/>
      <c r="K850" s="136"/>
      <c r="L850" s="136"/>
      <c r="M850" s="159"/>
      <c r="N850" s="84"/>
      <c r="O850" s="84"/>
      <c r="P850" s="84"/>
      <c r="Q850" s="84"/>
      <c r="R850" s="84"/>
      <c r="S850" s="159"/>
      <c r="T850" s="159"/>
      <c r="U850" s="159"/>
      <c r="V850" s="159"/>
      <c r="W850" s="159"/>
      <c r="X850" s="159"/>
      <c r="AA850" s="159"/>
    </row>
    <row r="851" spans="4:27" s="66" customFormat="1">
      <c r="D851" s="75"/>
      <c r="F851" s="158"/>
      <c r="G851" s="64"/>
      <c r="H851" s="30"/>
      <c r="I851" s="136"/>
      <c r="J851" s="136"/>
      <c r="K851" s="136"/>
      <c r="L851" s="136"/>
      <c r="M851" s="159"/>
      <c r="N851" s="84"/>
      <c r="O851" s="84"/>
      <c r="P851" s="84"/>
      <c r="Q851" s="84"/>
      <c r="R851" s="84"/>
      <c r="S851" s="159"/>
      <c r="T851" s="159"/>
      <c r="U851" s="159"/>
      <c r="V851" s="159"/>
      <c r="W851" s="159"/>
      <c r="X851" s="159"/>
      <c r="AA851" s="159"/>
    </row>
    <row r="852" spans="4:27" s="66" customFormat="1">
      <c r="D852" s="75"/>
      <c r="F852" s="158"/>
      <c r="G852" s="64"/>
      <c r="H852" s="30"/>
      <c r="I852" s="136"/>
      <c r="J852" s="136"/>
      <c r="K852" s="136"/>
      <c r="L852" s="136"/>
      <c r="M852" s="159"/>
      <c r="N852" s="84"/>
      <c r="O852" s="84"/>
      <c r="P852" s="84"/>
      <c r="Q852" s="84"/>
      <c r="R852" s="84"/>
      <c r="S852" s="159"/>
      <c r="T852" s="159"/>
      <c r="U852" s="159"/>
      <c r="V852" s="159"/>
      <c r="W852" s="159"/>
      <c r="X852" s="159"/>
      <c r="AA852" s="159"/>
    </row>
    <row r="853" spans="4:27" s="66" customFormat="1">
      <c r="D853" s="75"/>
      <c r="F853" s="158"/>
      <c r="G853" s="64"/>
      <c r="H853" s="30"/>
      <c r="I853" s="136"/>
      <c r="J853" s="136"/>
      <c r="K853" s="136"/>
      <c r="L853" s="136"/>
      <c r="M853" s="159"/>
      <c r="N853" s="84"/>
      <c r="O853" s="84"/>
      <c r="P853" s="84"/>
      <c r="Q853" s="84"/>
      <c r="R853" s="84"/>
      <c r="S853" s="159"/>
      <c r="T853" s="159"/>
      <c r="U853" s="159"/>
      <c r="V853" s="159"/>
      <c r="W853" s="159"/>
      <c r="X853" s="159"/>
      <c r="AA853" s="159"/>
    </row>
    <row r="854" spans="4:27" s="66" customFormat="1">
      <c r="D854" s="75"/>
      <c r="F854" s="158"/>
      <c r="G854" s="64"/>
      <c r="H854" s="30"/>
      <c r="I854" s="136"/>
      <c r="J854" s="136"/>
      <c r="K854" s="136"/>
      <c r="L854" s="136"/>
      <c r="M854" s="159"/>
      <c r="N854" s="84"/>
      <c r="O854" s="84"/>
      <c r="P854" s="84"/>
      <c r="Q854" s="84"/>
      <c r="R854" s="84"/>
      <c r="S854" s="159"/>
      <c r="T854" s="159"/>
      <c r="U854" s="159"/>
      <c r="V854" s="159"/>
      <c r="W854" s="159"/>
      <c r="X854" s="159"/>
      <c r="AA854" s="159"/>
    </row>
    <row r="855" spans="4:27" s="66" customFormat="1">
      <c r="D855" s="75"/>
      <c r="F855" s="158"/>
      <c r="G855" s="64"/>
      <c r="H855" s="30"/>
      <c r="I855" s="136"/>
      <c r="J855" s="136"/>
      <c r="K855" s="136"/>
      <c r="L855" s="136"/>
      <c r="M855" s="159"/>
      <c r="N855" s="84"/>
      <c r="O855" s="84"/>
      <c r="P855" s="84"/>
      <c r="Q855" s="84"/>
      <c r="R855" s="84"/>
      <c r="S855" s="159"/>
      <c r="T855" s="159"/>
      <c r="U855" s="159"/>
      <c r="V855" s="159"/>
      <c r="W855" s="159"/>
      <c r="X855" s="159"/>
      <c r="AA855" s="159"/>
    </row>
    <row r="856" spans="4:27" s="66" customFormat="1">
      <c r="D856" s="75"/>
      <c r="F856" s="158"/>
      <c r="G856" s="64"/>
      <c r="H856" s="30"/>
      <c r="I856" s="136"/>
      <c r="J856" s="136"/>
      <c r="K856" s="136"/>
      <c r="L856" s="136"/>
      <c r="M856" s="159"/>
      <c r="N856" s="84"/>
      <c r="O856" s="84"/>
      <c r="P856" s="84"/>
      <c r="Q856" s="84"/>
      <c r="R856" s="84"/>
      <c r="S856" s="159"/>
      <c r="T856" s="159"/>
      <c r="U856" s="159"/>
      <c r="V856" s="159"/>
      <c r="W856" s="159"/>
      <c r="X856" s="159"/>
      <c r="AA856" s="159"/>
    </row>
    <row r="857" spans="4:27" s="66" customFormat="1">
      <c r="D857" s="75"/>
      <c r="F857" s="158"/>
      <c r="G857" s="64"/>
      <c r="H857" s="30"/>
      <c r="I857" s="136"/>
      <c r="J857" s="136"/>
      <c r="K857" s="136"/>
      <c r="L857" s="136"/>
      <c r="M857" s="159"/>
      <c r="N857" s="84"/>
      <c r="O857" s="84"/>
      <c r="P857" s="84"/>
      <c r="Q857" s="84"/>
      <c r="R857" s="84"/>
      <c r="S857" s="159"/>
      <c r="T857" s="159"/>
      <c r="U857" s="159"/>
      <c r="V857" s="159"/>
      <c r="W857" s="159"/>
      <c r="X857" s="159"/>
      <c r="AA857" s="159"/>
    </row>
    <row r="858" spans="4:27" s="66" customFormat="1">
      <c r="D858" s="75"/>
      <c r="F858" s="158"/>
      <c r="G858" s="64"/>
      <c r="H858" s="30"/>
      <c r="I858" s="136"/>
      <c r="J858" s="136"/>
      <c r="K858" s="136"/>
      <c r="L858" s="136"/>
      <c r="M858" s="159"/>
      <c r="N858" s="84"/>
      <c r="O858" s="84"/>
      <c r="P858" s="84"/>
      <c r="Q858" s="84"/>
      <c r="R858" s="84"/>
      <c r="S858" s="159"/>
      <c r="T858" s="159"/>
      <c r="U858" s="159"/>
      <c r="V858" s="159"/>
      <c r="W858" s="159"/>
      <c r="X858" s="159"/>
      <c r="AA858" s="159"/>
    </row>
    <row r="859" spans="4:27" s="66" customFormat="1">
      <c r="D859" s="75"/>
      <c r="F859" s="158"/>
      <c r="G859" s="64"/>
      <c r="H859" s="30"/>
      <c r="I859" s="136"/>
      <c r="J859" s="136"/>
      <c r="K859" s="136"/>
      <c r="L859" s="136"/>
      <c r="M859" s="159"/>
      <c r="N859" s="84"/>
      <c r="O859" s="84"/>
      <c r="P859" s="84"/>
      <c r="Q859" s="84"/>
      <c r="R859" s="84"/>
      <c r="S859" s="159"/>
      <c r="T859" s="159"/>
      <c r="U859" s="159"/>
      <c r="V859" s="159"/>
      <c r="W859" s="159"/>
      <c r="X859" s="159"/>
      <c r="AA859" s="159"/>
    </row>
    <row r="860" spans="4:27" s="66" customFormat="1">
      <c r="D860" s="75"/>
      <c r="F860" s="158"/>
      <c r="G860" s="64"/>
      <c r="H860" s="30"/>
      <c r="I860" s="136"/>
      <c r="J860" s="136"/>
      <c r="K860" s="136"/>
      <c r="L860" s="136"/>
      <c r="M860" s="159"/>
      <c r="N860" s="84"/>
      <c r="O860" s="84"/>
      <c r="P860" s="84"/>
      <c r="Q860" s="84"/>
      <c r="R860" s="84"/>
      <c r="S860" s="159"/>
      <c r="T860" s="159"/>
      <c r="U860" s="159"/>
      <c r="V860" s="159"/>
      <c r="W860" s="159"/>
      <c r="X860" s="159"/>
      <c r="AA860" s="159"/>
    </row>
    <row r="861" spans="4:27" s="66" customFormat="1">
      <c r="D861" s="75"/>
      <c r="F861" s="158"/>
      <c r="G861" s="64"/>
      <c r="H861" s="30"/>
      <c r="I861" s="136"/>
      <c r="J861" s="136"/>
      <c r="K861" s="136"/>
      <c r="L861" s="136"/>
      <c r="M861" s="159"/>
      <c r="N861" s="84"/>
      <c r="O861" s="84"/>
      <c r="P861" s="84"/>
      <c r="Q861" s="84"/>
      <c r="R861" s="84"/>
      <c r="S861" s="159"/>
      <c r="T861" s="159"/>
      <c r="U861" s="159"/>
      <c r="V861" s="159"/>
      <c r="W861" s="159"/>
      <c r="X861" s="159"/>
      <c r="AA861" s="159"/>
    </row>
    <row r="862" spans="4:27" s="66" customFormat="1">
      <c r="D862" s="75"/>
      <c r="F862" s="158"/>
      <c r="G862" s="64"/>
      <c r="H862" s="30"/>
      <c r="I862" s="136"/>
      <c r="J862" s="136"/>
      <c r="K862" s="136"/>
      <c r="L862" s="136"/>
      <c r="M862" s="159"/>
      <c r="N862" s="84"/>
      <c r="O862" s="84"/>
      <c r="P862" s="84"/>
      <c r="Q862" s="84"/>
      <c r="R862" s="84"/>
      <c r="S862" s="159"/>
      <c r="T862" s="159"/>
      <c r="U862" s="159"/>
      <c r="V862" s="159"/>
      <c r="W862" s="159"/>
      <c r="X862" s="159"/>
      <c r="AA862" s="159"/>
    </row>
    <row r="863" spans="4:27" s="66" customFormat="1">
      <c r="D863" s="75"/>
      <c r="F863" s="158"/>
      <c r="G863" s="64"/>
      <c r="H863" s="30"/>
      <c r="I863" s="136"/>
      <c r="J863" s="136"/>
      <c r="K863" s="136"/>
      <c r="L863" s="136"/>
      <c r="M863" s="159"/>
      <c r="N863" s="84"/>
      <c r="O863" s="84"/>
      <c r="P863" s="84"/>
      <c r="Q863" s="84"/>
      <c r="R863" s="84"/>
      <c r="S863" s="159"/>
      <c r="T863" s="159"/>
      <c r="U863" s="159"/>
      <c r="V863" s="159"/>
      <c r="W863" s="159"/>
      <c r="X863" s="159"/>
      <c r="AA863" s="159"/>
    </row>
    <row r="864" spans="4:27" s="66" customFormat="1">
      <c r="D864" s="75"/>
      <c r="F864" s="158"/>
      <c r="G864" s="64"/>
      <c r="H864" s="30"/>
      <c r="I864" s="136"/>
      <c r="J864" s="136"/>
      <c r="K864" s="136"/>
      <c r="L864" s="136"/>
      <c r="M864" s="159"/>
      <c r="N864" s="84"/>
      <c r="O864" s="84"/>
      <c r="P864" s="84"/>
      <c r="Q864" s="84"/>
      <c r="R864" s="84"/>
      <c r="S864" s="159"/>
      <c r="T864" s="159"/>
      <c r="U864" s="159"/>
      <c r="V864" s="159"/>
      <c r="W864" s="159"/>
      <c r="X864" s="159"/>
      <c r="AA864" s="159"/>
    </row>
    <row r="865" spans="4:27" s="66" customFormat="1">
      <c r="D865" s="75"/>
      <c r="F865" s="158"/>
      <c r="G865" s="64"/>
      <c r="H865" s="30"/>
      <c r="I865" s="136"/>
      <c r="J865" s="136"/>
      <c r="K865" s="136"/>
      <c r="L865" s="136"/>
      <c r="M865" s="159"/>
      <c r="N865" s="84"/>
      <c r="O865" s="84"/>
      <c r="P865" s="84"/>
      <c r="Q865" s="84"/>
      <c r="R865" s="84"/>
      <c r="S865" s="159"/>
      <c r="T865" s="159"/>
      <c r="U865" s="159"/>
      <c r="V865" s="159"/>
      <c r="W865" s="159"/>
      <c r="X865" s="159"/>
      <c r="AA865" s="159"/>
    </row>
    <row r="866" spans="4:27" s="66" customFormat="1">
      <c r="D866" s="75"/>
      <c r="F866" s="158"/>
      <c r="G866" s="64"/>
      <c r="H866" s="30"/>
      <c r="I866" s="136"/>
      <c r="J866" s="136"/>
      <c r="K866" s="136"/>
      <c r="L866" s="136"/>
      <c r="M866" s="159"/>
      <c r="N866" s="84"/>
      <c r="O866" s="84"/>
      <c r="P866" s="84"/>
      <c r="Q866" s="84"/>
      <c r="R866" s="84"/>
      <c r="S866" s="159"/>
      <c r="T866" s="159"/>
      <c r="U866" s="159"/>
      <c r="V866" s="159"/>
      <c r="W866" s="159"/>
      <c r="X866" s="159"/>
      <c r="AA866" s="159"/>
    </row>
    <row r="867" spans="4:27" s="66" customFormat="1">
      <c r="D867" s="75"/>
      <c r="F867" s="158"/>
      <c r="G867" s="64"/>
      <c r="H867" s="30"/>
      <c r="I867" s="136"/>
      <c r="J867" s="136"/>
      <c r="K867" s="136"/>
      <c r="L867" s="136"/>
      <c r="M867" s="159"/>
      <c r="N867" s="84"/>
      <c r="O867" s="84"/>
      <c r="P867" s="84"/>
      <c r="Q867" s="84"/>
      <c r="R867" s="84"/>
      <c r="S867" s="159"/>
      <c r="T867" s="159"/>
      <c r="U867" s="159"/>
      <c r="V867" s="159"/>
      <c r="W867" s="159"/>
      <c r="X867" s="159"/>
      <c r="AA867" s="159"/>
    </row>
    <row r="868" spans="4:27" s="66" customFormat="1">
      <c r="D868" s="75"/>
      <c r="F868" s="158"/>
      <c r="G868" s="64"/>
      <c r="H868" s="30"/>
      <c r="I868" s="136"/>
      <c r="J868" s="136"/>
      <c r="K868" s="136"/>
      <c r="L868" s="136"/>
      <c r="M868" s="159"/>
      <c r="N868" s="84"/>
      <c r="O868" s="84"/>
      <c r="P868" s="84"/>
      <c r="Q868" s="84"/>
      <c r="R868" s="84"/>
      <c r="S868" s="159"/>
      <c r="T868" s="159"/>
      <c r="U868" s="159"/>
      <c r="V868" s="159"/>
      <c r="W868" s="159"/>
      <c r="X868" s="159"/>
      <c r="AA868" s="159"/>
    </row>
    <row r="869" spans="4:27" s="66" customFormat="1">
      <c r="D869" s="75"/>
      <c r="F869" s="158"/>
      <c r="G869" s="64"/>
      <c r="H869" s="30"/>
      <c r="I869" s="136"/>
      <c r="J869" s="136"/>
      <c r="K869" s="136"/>
      <c r="L869" s="136"/>
      <c r="M869" s="159"/>
      <c r="N869" s="84"/>
      <c r="O869" s="84"/>
      <c r="P869" s="84"/>
      <c r="Q869" s="84"/>
      <c r="R869" s="84"/>
      <c r="S869" s="159"/>
      <c r="T869" s="159"/>
      <c r="U869" s="159"/>
      <c r="V869" s="159"/>
      <c r="W869" s="159"/>
      <c r="X869" s="159"/>
      <c r="AA869" s="159"/>
    </row>
    <row r="870" spans="4:27" s="66" customFormat="1">
      <c r="D870" s="75"/>
      <c r="F870" s="158"/>
      <c r="G870" s="64"/>
      <c r="H870" s="30"/>
      <c r="I870" s="136"/>
      <c r="J870" s="136"/>
      <c r="K870" s="136"/>
      <c r="L870" s="136"/>
      <c r="M870" s="159"/>
      <c r="N870" s="84"/>
      <c r="O870" s="84"/>
      <c r="P870" s="84"/>
      <c r="Q870" s="84"/>
      <c r="R870" s="84"/>
      <c r="S870" s="159"/>
      <c r="T870" s="159"/>
      <c r="U870" s="159"/>
      <c r="V870" s="159"/>
      <c r="W870" s="159"/>
      <c r="X870" s="159"/>
      <c r="AA870" s="159"/>
    </row>
    <row r="871" spans="4:27" s="66" customFormat="1">
      <c r="D871" s="75"/>
      <c r="F871" s="158"/>
      <c r="G871" s="64"/>
      <c r="H871" s="30"/>
      <c r="I871" s="136"/>
      <c r="J871" s="136"/>
      <c r="K871" s="136"/>
      <c r="L871" s="136"/>
      <c r="M871" s="159"/>
      <c r="N871" s="84"/>
      <c r="O871" s="84"/>
      <c r="P871" s="84"/>
      <c r="Q871" s="84"/>
      <c r="R871" s="84"/>
      <c r="S871" s="159"/>
      <c r="T871" s="159"/>
      <c r="U871" s="159"/>
      <c r="V871" s="159"/>
      <c r="W871" s="159"/>
      <c r="X871" s="159"/>
      <c r="AA871" s="159"/>
    </row>
    <row r="872" spans="4:27" s="66" customFormat="1">
      <c r="D872" s="75"/>
      <c r="F872" s="158"/>
      <c r="G872" s="64"/>
      <c r="H872" s="30"/>
      <c r="I872" s="136"/>
      <c r="J872" s="136"/>
      <c r="K872" s="136"/>
      <c r="L872" s="136"/>
      <c r="M872" s="159"/>
      <c r="N872" s="84"/>
      <c r="O872" s="84"/>
      <c r="P872" s="84"/>
      <c r="Q872" s="84"/>
      <c r="R872" s="84"/>
      <c r="S872" s="159"/>
      <c r="T872" s="159"/>
      <c r="U872" s="159"/>
      <c r="V872" s="159"/>
      <c r="W872" s="159"/>
      <c r="X872" s="159"/>
      <c r="AA872" s="159"/>
    </row>
    <row r="873" spans="4:27" s="66" customFormat="1">
      <c r="D873" s="75"/>
      <c r="F873" s="158"/>
      <c r="G873" s="64"/>
      <c r="H873" s="30"/>
      <c r="I873" s="136"/>
      <c r="J873" s="136"/>
      <c r="K873" s="136"/>
      <c r="L873" s="136"/>
      <c r="M873" s="159"/>
      <c r="N873" s="84"/>
      <c r="O873" s="84"/>
      <c r="P873" s="84"/>
      <c r="Q873" s="84"/>
      <c r="R873" s="84"/>
      <c r="S873" s="159"/>
      <c r="T873" s="159"/>
      <c r="U873" s="159"/>
      <c r="V873" s="159"/>
      <c r="W873" s="159"/>
      <c r="X873" s="159"/>
      <c r="AA873" s="159"/>
    </row>
    <row r="874" spans="4:27" s="66" customFormat="1">
      <c r="D874" s="75"/>
      <c r="F874" s="158"/>
      <c r="G874" s="64"/>
      <c r="H874" s="30"/>
      <c r="I874" s="136"/>
      <c r="J874" s="136"/>
      <c r="K874" s="136"/>
      <c r="L874" s="136"/>
      <c r="M874" s="159"/>
      <c r="N874" s="84"/>
      <c r="O874" s="84"/>
      <c r="P874" s="84"/>
      <c r="Q874" s="84"/>
      <c r="R874" s="84"/>
      <c r="S874" s="159"/>
      <c r="T874" s="159"/>
      <c r="U874" s="159"/>
      <c r="V874" s="159"/>
      <c r="W874" s="159"/>
      <c r="X874" s="159"/>
      <c r="AA874" s="159"/>
    </row>
    <row r="875" spans="4:27" s="66" customFormat="1">
      <c r="D875" s="75"/>
      <c r="F875" s="158"/>
      <c r="G875" s="64"/>
      <c r="H875" s="30"/>
      <c r="I875" s="136"/>
      <c r="J875" s="136"/>
      <c r="K875" s="136"/>
      <c r="L875" s="136"/>
      <c r="M875" s="159"/>
      <c r="N875" s="84"/>
      <c r="O875" s="84"/>
      <c r="P875" s="84"/>
      <c r="Q875" s="84"/>
      <c r="R875" s="84"/>
      <c r="S875" s="159"/>
      <c r="T875" s="159"/>
      <c r="U875" s="159"/>
      <c r="V875" s="159"/>
      <c r="W875" s="159"/>
      <c r="X875" s="159"/>
      <c r="AA875" s="159"/>
    </row>
    <row r="876" spans="4:27" s="66" customFormat="1">
      <c r="D876" s="75"/>
      <c r="F876" s="158"/>
      <c r="G876" s="64"/>
      <c r="H876" s="30"/>
      <c r="I876" s="136"/>
      <c r="J876" s="136"/>
      <c r="K876" s="136"/>
      <c r="L876" s="136"/>
      <c r="M876" s="159"/>
      <c r="N876" s="84"/>
      <c r="O876" s="84"/>
      <c r="P876" s="84"/>
      <c r="Q876" s="84"/>
      <c r="R876" s="84"/>
      <c r="S876" s="159"/>
      <c r="T876" s="159"/>
      <c r="U876" s="159"/>
      <c r="V876" s="159"/>
      <c r="W876" s="159"/>
      <c r="X876" s="159"/>
      <c r="AA876" s="159"/>
    </row>
    <row r="877" spans="4:27" s="66" customFormat="1">
      <c r="D877" s="75"/>
      <c r="F877" s="158"/>
      <c r="G877" s="64"/>
      <c r="H877" s="30"/>
      <c r="I877" s="136"/>
      <c r="J877" s="136"/>
      <c r="K877" s="136"/>
      <c r="L877" s="136"/>
      <c r="M877" s="159"/>
      <c r="N877" s="84"/>
      <c r="O877" s="84"/>
      <c r="P877" s="84"/>
      <c r="Q877" s="84"/>
      <c r="R877" s="84"/>
      <c r="S877" s="159"/>
      <c r="T877" s="159"/>
      <c r="U877" s="159"/>
      <c r="V877" s="159"/>
      <c r="W877" s="159"/>
      <c r="X877" s="159"/>
      <c r="AA877" s="159"/>
    </row>
    <row r="878" spans="4:27" s="66" customFormat="1">
      <c r="D878" s="75"/>
      <c r="F878" s="158"/>
      <c r="G878" s="64"/>
      <c r="H878" s="30"/>
      <c r="I878" s="136"/>
      <c r="J878" s="136"/>
      <c r="K878" s="136"/>
      <c r="L878" s="136"/>
      <c r="M878" s="159"/>
      <c r="N878" s="84"/>
      <c r="O878" s="84"/>
      <c r="P878" s="84"/>
      <c r="Q878" s="84"/>
      <c r="R878" s="84"/>
      <c r="S878" s="159"/>
      <c r="T878" s="159"/>
      <c r="U878" s="159"/>
      <c r="V878" s="159"/>
      <c r="W878" s="159"/>
      <c r="X878" s="159"/>
      <c r="AA878" s="159"/>
    </row>
    <row r="879" spans="4:27" s="66" customFormat="1">
      <c r="D879" s="75"/>
      <c r="F879" s="158"/>
      <c r="G879" s="64"/>
      <c r="H879" s="30"/>
      <c r="I879" s="136"/>
      <c r="J879" s="136"/>
      <c r="K879" s="136"/>
      <c r="L879" s="136"/>
      <c r="M879" s="159"/>
      <c r="N879" s="84"/>
      <c r="O879" s="84"/>
      <c r="P879" s="84"/>
      <c r="Q879" s="84"/>
      <c r="R879" s="84"/>
      <c r="S879" s="159"/>
      <c r="T879" s="159"/>
      <c r="U879" s="159"/>
      <c r="V879" s="159"/>
      <c r="W879" s="159"/>
      <c r="X879" s="159"/>
      <c r="AA879" s="159"/>
    </row>
    <row r="880" spans="4:27" s="66" customFormat="1">
      <c r="D880" s="75"/>
      <c r="F880" s="158"/>
      <c r="G880" s="64"/>
      <c r="H880" s="30"/>
      <c r="I880" s="136"/>
      <c r="J880" s="136"/>
      <c r="K880" s="136"/>
      <c r="L880" s="136"/>
      <c r="M880" s="159"/>
      <c r="N880" s="84"/>
      <c r="O880" s="84"/>
      <c r="P880" s="84"/>
      <c r="Q880" s="84"/>
      <c r="R880" s="84"/>
      <c r="S880" s="159"/>
      <c r="T880" s="159"/>
      <c r="U880" s="159"/>
      <c r="V880" s="159"/>
      <c r="W880" s="159"/>
      <c r="X880" s="159"/>
      <c r="AA880" s="159"/>
    </row>
    <row r="881" spans="4:27" s="66" customFormat="1">
      <c r="D881" s="75"/>
      <c r="F881" s="158"/>
      <c r="G881" s="64"/>
      <c r="H881" s="30"/>
      <c r="I881" s="136"/>
      <c r="J881" s="136"/>
      <c r="K881" s="136"/>
      <c r="L881" s="136"/>
      <c r="M881" s="159"/>
      <c r="N881" s="84"/>
      <c r="O881" s="84"/>
      <c r="P881" s="84"/>
      <c r="Q881" s="84"/>
      <c r="R881" s="84"/>
      <c r="S881" s="159"/>
      <c r="T881" s="159"/>
      <c r="U881" s="159"/>
      <c r="V881" s="159"/>
      <c r="W881" s="159"/>
      <c r="X881" s="159"/>
      <c r="AA881" s="159"/>
    </row>
    <row r="882" spans="4:27" s="66" customFormat="1">
      <c r="D882" s="75"/>
      <c r="F882" s="158"/>
      <c r="G882" s="64"/>
      <c r="H882" s="30"/>
      <c r="I882" s="136"/>
      <c r="J882" s="136"/>
      <c r="K882" s="136"/>
      <c r="L882" s="136"/>
      <c r="M882" s="159"/>
      <c r="N882" s="84"/>
      <c r="O882" s="84"/>
      <c r="P882" s="84"/>
      <c r="Q882" s="84"/>
      <c r="R882" s="84"/>
      <c r="S882" s="159"/>
      <c r="T882" s="159"/>
      <c r="U882" s="159"/>
      <c r="V882" s="159"/>
      <c r="W882" s="159"/>
      <c r="X882" s="159"/>
      <c r="AA882" s="159"/>
    </row>
    <row r="883" spans="4:27" s="66" customFormat="1">
      <c r="D883" s="75"/>
      <c r="F883" s="158"/>
      <c r="G883" s="64"/>
      <c r="H883" s="30"/>
      <c r="I883" s="136"/>
      <c r="J883" s="136"/>
      <c r="K883" s="136"/>
      <c r="L883" s="136"/>
      <c r="M883" s="159"/>
      <c r="N883" s="84"/>
      <c r="O883" s="84"/>
      <c r="P883" s="84"/>
      <c r="Q883" s="84"/>
      <c r="R883" s="84"/>
      <c r="S883" s="159"/>
      <c r="T883" s="159"/>
      <c r="U883" s="159"/>
      <c r="V883" s="159"/>
      <c r="W883" s="159"/>
      <c r="X883" s="159"/>
      <c r="AA883" s="159"/>
    </row>
    <row r="884" spans="4:27" s="66" customFormat="1">
      <c r="D884" s="75"/>
      <c r="F884" s="158"/>
      <c r="G884" s="64"/>
      <c r="H884" s="30"/>
      <c r="I884" s="136"/>
      <c r="J884" s="136"/>
      <c r="K884" s="136"/>
      <c r="L884" s="136"/>
      <c r="M884" s="159"/>
      <c r="N884" s="84"/>
      <c r="O884" s="84"/>
      <c r="P884" s="84"/>
      <c r="Q884" s="84"/>
      <c r="R884" s="84"/>
      <c r="S884" s="159"/>
      <c r="T884" s="159"/>
      <c r="U884" s="159"/>
      <c r="V884" s="159"/>
      <c r="W884" s="159"/>
      <c r="X884" s="159"/>
      <c r="AA884" s="159"/>
    </row>
    <row r="885" spans="4:27" s="66" customFormat="1">
      <c r="D885" s="75"/>
      <c r="F885" s="158"/>
      <c r="G885" s="64"/>
      <c r="H885" s="30"/>
      <c r="I885" s="136"/>
      <c r="J885" s="136"/>
      <c r="K885" s="136"/>
      <c r="L885" s="136"/>
      <c r="M885" s="159"/>
      <c r="N885" s="84"/>
      <c r="O885" s="84"/>
      <c r="P885" s="84"/>
      <c r="Q885" s="84"/>
      <c r="R885" s="84"/>
      <c r="S885" s="159"/>
      <c r="T885" s="159"/>
      <c r="U885" s="159"/>
      <c r="V885" s="159"/>
      <c r="W885" s="159"/>
      <c r="X885" s="159"/>
      <c r="AA885" s="159"/>
    </row>
    <row r="886" spans="4:27" s="66" customFormat="1">
      <c r="D886" s="75"/>
      <c r="F886" s="158"/>
      <c r="G886" s="64"/>
      <c r="H886" s="30"/>
      <c r="I886" s="136"/>
      <c r="J886" s="136"/>
      <c r="K886" s="136"/>
      <c r="L886" s="136"/>
      <c r="M886" s="159"/>
      <c r="N886" s="84"/>
      <c r="O886" s="84"/>
      <c r="P886" s="84"/>
      <c r="Q886" s="84"/>
      <c r="R886" s="84"/>
      <c r="S886" s="159"/>
      <c r="T886" s="159"/>
      <c r="U886" s="159"/>
      <c r="V886" s="159"/>
      <c r="W886" s="159"/>
      <c r="X886" s="159"/>
      <c r="AA886" s="159"/>
    </row>
    <row r="887" spans="4:27" s="66" customFormat="1">
      <c r="D887" s="75"/>
      <c r="F887" s="158"/>
      <c r="G887" s="64"/>
      <c r="H887" s="30"/>
      <c r="I887" s="136"/>
      <c r="J887" s="136"/>
      <c r="K887" s="136"/>
      <c r="L887" s="136"/>
      <c r="M887" s="159"/>
      <c r="N887" s="84"/>
      <c r="O887" s="84"/>
      <c r="P887" s="84"/>
      <c r="Q887" s="84"/>
      <c r="R887" s="84"/>
      <c r="S887" s="159"/>
      <c r="T887" s="159"/>
      <c r="U887" s="159"/>
      <c r="V887" s="159"/>
      <c r="W887" s="159"/>
      <c r="X887" s="159"/>
      <c r="AA887" s="159"/>
    </row>
    <row r="888" spans="4:27" s="66" customFormat="1">
      <c r="D888" s="75"/>
      <c r="F888" s="158"/>
      <c r="G888" s="64"/>
      <c r="H888" s="30"/>
      <c r="I888" s="136"/>
      <c r="J888" s="136"/>
      <c r="K888" s="136"/>
      <c r="L888" s="136"/>
      <c r="M888" s="159"/>
      <c r="N888" s="84"/>
      <c r="O888" s="84"/>
      <c r="P888" s="84"/>
      <c r="Q888" s="84"/>
      <c r="R888" s="84"/>
      <c r="S888" s="159"/>
      <c r="T888" s="159"/>
      <c r="U888" s="159"/>
      <c r="V888" s="159"/>
      <c r="W888" s="159"/>
      <c r="X888" s="159"/>
      <c r="AA888" s="159"/>
    </row>
    <row r="889" spans="4:27" s="66" customFormat="1">
      <c r="D889" s="75"/>
      <c r="F889" s="158"/>
      <c r="G889" s="64"/>
      <c r="H889" s="30"/>
      <c r="I889" s="136"/>
      <c r="J889" s="136"/>
      <c r="K889" s="136"/>
      <c r="L889" s="136"/>
      <c r="M889" s="159"/>
      <c r="N889" s="84"/>
      <c r="O889" s="84"/>
      <c r="P889" s="84"/>
      <c r="Q889" s="84"/>
      <c r="R889" s="84"/>
      <c r="S889" s="159"/>
      <c r="T889" s="159"/>
      <c r="U889" s="159"/>
      <c r="V889" s="159"/>
      <c r="W889" s="159"/>
      <c r="X889" s="159"/>
      <c r="AA889" s="159"/>
    </row>
    <row r="890" spans="4:27" s="66" customFormat="1">
      <c r="D890" s="75"/>
      <c r="F890" s="158"/>
      <c r="G890" s="64"/>
      <c r="H890" s="30"/>
      <c r="I890" s="136"/>
      <c r="J890" s="136"/>
      <c r="K890" s="136"/>
      <c r="L890" s="136"/>
      <c r="M890" s="159"/>
      <c r="N890" s="84"/>
      <c r="O890" s="84"/>
      <c r="P890" s="84"/>
      <c r="Q890" s="84"/>
      <c r="R890" s="84"/>
      <c r="S890" s="159"/>
      <c r="T890" s="159"/>
      <c r="U890" s="159"/>
      <c r="V890" s="159"/>
      <c r="W890" s="159"/>
      <c r="X890" s="159"/>
      <c r="AA890" s="159"/>
    </row>
    <row r="891" spans="4:27" s="66" customFormat="1">
      <c r="D891" s="75"/>
      <c r="F891" s="158"/>
      <c r="G891" s="64"/>
      <c r="H891" s="30"/>
      <c r="I891" s="136"/>
      <c r="J891" s="136"/>
      <c r="K891" s="136"/>
      <c r="L891" s="136"/>
      <c r="M891" s="159"/>
      <c r="N891" s="84"/>
      <c r="O891" s="84"/>
      <c r="P891" s="84"/>
      <c r="Q891" s="84"/>
      <c r="R891" s="84"/>
      <c r="S891" s="159"/>
      <c r="T891" s="159"/>
      <c r="U891" s="159"/>
      <c r="V891" s="159"/>
      <c r="W891" s="159"/>
      <c r="X891" s="159"/>
      <c r="AA891" s="159"/>
    </row>
    <row r="892" spans="4:27" s="66" customFormat="1">
      <c r="D892" s="75"/>
      <c r="F892" s="158"/>
      <c r="G892" s="64"/>
      <c r="H892" s="30"/>
      <c r="I892" s="136"/>
      <c r="J892" s="136"/>
      <c r="K892" s="136"/>
      <c r="L892" s="136"/>
      <c r="M892" s="159"/>
      <c r="N892" s="84"/>
      <c r="O892" s="84"/>
      <c r="P892" s="84"/>
      <c r="Q892" s="84"/>
      <c r="R892" s="84"/>
      <c r="S892" s="159"/>
      <c r="T892" s="159"/>
      <c r="U892" s="159"/>
      <c r="V892" s="159"/>
      <c r="W892" s="159"/>
      <c r="X892" s="159"/>
      <c r="AA892" s="159"/>
    </row>
    <row r="893" spans="4:27" s="66" customFormat="1">
      <c r="D893" s="75"/>
      <c r="F893" s="158"/>
      <c r="G893" s="64"/>
      <c r="H893" s="30"/>
      <c r="I893" s="136"/>
      <c r="J893" s="136"/>
      <c r="K893" s="136"/>
      <c r="L893" s="136"/>
      <c r="M893" s="159"/>
      <c r="N893" s="84"/>
      <c r="O893" s="84"/>
      <c r="P893" s="84"/>
      <c r="Q893" s="84"/>
      <c r="R893" s="84"/>
      <c r="S893" s="159"/>
      <c r="T893" s="159"/>
      <c r="U893" s="159"/>
      <c r="V893" s="159"/>
      <c r="W893" s="159"/>
      <c r="X893" s="159"/>
      <c r="AA893" s="159"/>
    </row>
    <row r="894" spans="4:27" s="66" customFormat="1">
      <c r="D894" s="75"/>
      <c r="F894" s="158"/>
      <c r="G894" s="64"/>
      <c r="H894" s="30"/>
      <c r="I894" s="136"/>
      <c r="J894" s="136"/>
      <c r="K894" s="136"/>
      <c r="L894" s="136"/>
      <c r="M894" s="159"/>
      <c r="N894" s="84"/>
      <c r="O894" s="84"/>
      <c r="P894" s="84"/>
      <c r="Q894" s="84"/>
      <c r="R894" s="84"/>
      <c r="S894" s="159"/>
      <c r="T894" s="159"/>
      <c r="U894" s="159"/>
      <c r="V894" s="159"/>
      <c r="W894" s="159"/>
      <c r="X894" s="159"/>
      <c r="AA894" s="159"/>
    </row>
    <row r="895" spans="4:27" s="66" customFormat="1">
      <c r="D895" s="75"/>
      <c r="F895" s="158"/>
      <c r="G895" s="64"/>
      <c r="H895" s="30"/>
      <c r="I895" s="136"/>
      <c r="J895" s="136"/>
      <c r="K895" s="136"/>
      <c r="L895" s="136"/>
      <c r="M895" s="159"/>
      <c r="N895" s="84"/>
      <c r="O895" s="84"/>
      <c r="P895" s="84"/>
      <c r="Q895" s="84"/>
      <c r="R895" s="84"/>
      <c r="S895" s="159"/>
      <c r="T895" s="159"/>
      <c r="U895" s="159"/>
      <c r="V895" s="159"/>
      <c r="W895" s="159"/>
      <c r="X895" s="159"/>
      <c r="AA895" s="159"/>
    </row>
    <row r="896" spans="4:27" s="66" customFormat="1">
      <c r="D896" s="75"/>
      <c r="F896" s="158"/>
      <c r="G896" s="64"/>
      <c r="H896" s="30"/>
      <c r="I896" s="136"/>
      <c r="J896" s="136"/>
      <c r="K896" s="136"/>
      <c r="L896" s="136"/>
      <c r="M896" s="159"/>
      <c r="N896" s="84"/>
      <c r="O896" s="84"/>
      <c r="P896" s="84"/>
      <c r="Q896" s="84"/>
      <c r="R896" s="84"/>
      <c r="S896" s="159"/>
      <c r="T896" s="159"/>
      <c r="U896" s="159"/>
      <c r="V896" s="159"/>
      <c r="W896" s="159"/>
      <c r="X896" s="159"/>
      <c r="AA896" s="159"/>
    </row>
    <row r="897" spans="4:27" s="66" customFormat="1">
      <c r="D897" s="75"/>
      <c r="F897" s="158"/>
      <c r="G897" s="64"/>
      <c r="H897" s="30"/>
      <c r="I897" s="136"/>
      <c r="J897" s="136"/>
      <c r="K897" s="136"/>
      <c r="L897" s="136"/>
      <c r="M897" s="159"/>
      <c r="N897" s="84"/>
      <c r="O897" s="84"/>
      <c r="P897" s="84"/>
      <c r="Q897" s="84"/>
      <c r="R897" s="84"/>
      <c r="S897" s="159"/>
      <c r="T897" s="159"/>
      <c r="U897" s="159"/>
      <c r="V897" s="159"/>
      <c r="W897" s="159"/>
      <c r="X897" s="159"/>
      <c r="AA897" s="159"/>
    </row>
    <row r="898" spans="4:27" s="66" customFormat="1">
      <c r="D898" s="75"/>
      <c r="F898" s="158"/>
      <c r="G898" s="64"/>
      <c r="H898" s="30"/>
      <c r="I898" s="136"/>
      <c r="J898" s="136"/>
      <c r="K898" s="136"/>
      <c r="L898" s="136"/>
      <c r="M898" s="159"/>
      <c r="N898" s="84"/>
      <c r="O898" s="84"/>
      <c r="P898" s="84"/>
      <c r="Q898" s="84"/>
      <c r="R898" s="84"/>
      <c r="S898" s="159"/>
      <c r="T898" s="159"/>
      <c r="U898" s="159"/>
      <c r="V898" s="159"/>
      <c r="W898" s="159"/>
      <c r="X898" s="159"/>
      <c r="AA898" s="159"/>
    </row>
    <row r="899" spans="4:27" s="66" customFormat="1">
      <c r="D899" s="75"/>
      <c r="F899" s="158"/>
      <c r="G899" s="64"/>
      <c r="H899" s="30"/>
      <c r="I899" s="136"/>
      <c r="J899" s="136"/>
      <c r="K899" s="136"/>
      <c r="L899" s="136"/>
      <c r="M899" s="159"/>
      <c r="N899" s="84"/>
      <c r="O899" s="84"/>
      <c r="P899" s="84"/>
      <c r="Q899" s="84"/>
      <c r="R899" s="84"/>
      <c r="S899" s="159"/>
      <c r="T899" s="159"/>
      <c r="U899" s="159"/>
      <c r="V899" s="159"/>
      <c r="W899" s="159"/>
      <c r="X899" s="159"/>
      <c r="AA899" s="159"/>
    </row>
    <row r="900" spans="4:27" s="66" customFormat="1">
      <c r="D900" s="75"/>
      <c r="F900" s="158"/>
      <c r="G900" s="64"/>
      <c r="H900" s="30"/>
      <c r="I900" s="136"/>
      <c r="J900" s="136"/>
      <c r="K900" s="136"/>
      <c r="L900" s="136"/>
      <c r="M900" s="159"/>
      <c r="N900" s="84"/>
      <c r="O900" s="84"/>
      <c r="P900" s="84"/>
      <c r="Q900" s="84"/>
      <c r="R900" s="84"/>
      <c r="S900" s="159"/>
      <c r="T900" s="159"/>
      <c r="U900" s="159"/>
      <c r="V900" s="159"/>
      <c r="W900" s="159"/>
      <c r="X900" s="159"/>
      <c r="AA900" s="159"/>
    </row>
    <row r="901" spans="4:27" s="66" customFormat="1">
      <c r="D901" s="75"/>
      <c r="F901" s="158"/>
      <c r="G901" s="64"/>
      <c r="H901" s="30"/>
      <c r="I901" s="136"/>
      <c r="J901" s="136"/>
      <c r="K901" s="136"/>
      <c r="L901" s="136"/>
      <c r="M901" s="159"/>
      <c r="N901" s="84"/>
      <c r="O901" s="84"/>
      <c r="P901" s="84"/>
      <c r="Q901" s="84"/>
      <c r="R901" s="84"/>
      <c r="S901" s="159"/>
      <c r="T901" s="159"/>
      <c r="U901" s="159"/>
      <c r="V901" s="159"/>
      <c r="W901" s="159"/>
      <c r="X901" s="159"/>
      <c r="AA901" s="159"/>
    </row>
    <row r="902" spans="4:27" s="66" customFormat="1">
      <c r="D902" s="75"/>
      <c r="F902" s="158"/>
      <c r="G902" s="64"/>
      <c r="H902" s="30"/>
      <c r="I902" s="136"/>
      <c r="J902" s="136"/>
      <c r="K902" s="136"/>
      <c r="L902" s="136"/>
      <c r="M902" s="159"/>
      <c r="N902" s="84"/>
      <c r="O902" s="84"/>
      <c r="P902" s="84"/>
      <c r="Q902" s="84"/>
      <c r="R902" s="84"/>
      <c r="S902" s="159"/>
      <c r="T902" s="159"/>
      <c r="U902" s="159"/>
      <c r="V902" s="159"/>
      <c r="W902" s="159"/>
      <c r="X902" s="159"/>
      <c r="AA902" s="159"/>
    </row>
    <row r="903" spans="4:27" s="66" customFormat="1">
      <c r="D903" s="75"/>
      <c r="F903" s="158"/>
      <c r="G903" s="64"/>
      <c r="H903" s="30"/>
      <c r="I903" s="136"/>
      <c r="J903" s="136"/>
      <c r="K903" s="136"/>
      <c r="L903" s="136"/>
      <c r="M903" s="159"/>
      <c r="N903" s="84"/>
      <c r="O903" s="84"/>
      <c r="P903" s="84"/>
      <c r="Q903" s="84"/>
      <c r="R903" s="84"/>
      <c r="S903" s="159"/>
      <c r="T903" s="159"/>
      <c r="U903" s="159"/>
      <c r="V903" s="159"/>
      <c r="W903" s="159"/>
      <c r="X903" s="159"/>
      <c r="AA903" s="159"/>
    </row>
    <row r="904" spans="4:27" s="66" customFormat="1">
      <c r="D904" s="75"/>
      <c r="F904" s="158"/>
      <c r="G904" s="64"/>
      <c r="H904" s="30"/>
      <c r="I904" s="136"/>
      <c r="J904" s="136"/>
      <c r="K904" s="136"/>
      <c r="L904" s="136"/>
      <c r="M904" s="159"/>
      <c r="N904" s="84"/>
      <c r="O904" s="84"/>
      <c r="P904" s="84"/>
      <c r="Q904" s="84"/>
      <c r="R904" s="84"/>
      <c r="S904" s="159"/>
      <c r="T904" s="159"/>
      <c r="U904" s="159"/>
      <c r="V904" s="159"/>
      <c r="W904" s="159"/>
      <c r="X904" s="159"/>
      <c r="AA904" s="159"/>
    </row>
    <row r="905" spans="4:27" s="66" customFormat="1">
      <c r="D905" s="75"/>
      <c r="F905" s="158"/>
      <c r="G905" s="64"/>
      <c r="H905" s="30"/>
      <c r="I905" s="136"/>
      <c r="J905" s="136"/>
      <c r="K905" s="136"/>
      <c r="L905" s="136"/>
      <c r="M905" s="159"/>
      <c r="N905" s="84"/>
      <c r="O905" s="84"/>
      <c r="P905" s="84"/>
      <c r="Q905" s="84"/>
      <c r="R905" s="84"/>
      <c r="S905" s="159"/>
      <c r="T905" s="159"/>
      <c r="U905" s="159"/>
      <c r="V905" s="159"/>
      <c r="W905" s="159"/>
      <c r="X905" s="159"/>
      <c r="AA905" s="159"/>
    </row>
    <row r="906" spans="4:27" s="66" customFormat="1">
      <c r="D906" s="75"/>
      <c r="F906" s="158"/>
      <c r="G906" s="64"/>
      <c r="H906" s="30"/>
      <c r="I906" s="136"/>
      <c r="J906" s="136"/>
      <c r="K906" s="136"/>
      <c r="L906" s="136"/>
      <c r="M906" s="159"/>
      <c r="N906" s="84"/>
      <c r="O906" s="84"/>
      <c r="P906" s="84"/>
      <c r="Q906" s="84"/>
      <c r="R906" s="84"/>
      <c r="S906" s="159"/>
      <c r="T906" s="159"/>
      <c r="U906" s="159"/>
      <c r="V906" s="159"/>
      <c r="W906" s="159"/>
      <c r="X906" s="159"/>
      <c r="AA906" s="159"/>
    </row>
    <row r="907" spans="4:27" s="66" customFormat="1">
      <c r="D907" s="75"/>
      <c r="F907" s="158"/>
      <c r="G907" s="64"/>
      <c r="H907" s="30"/>
      <c r="I907" s="136"/>
      <c r="J907" s="136"/>
      <c r="K907" s="136"/>
      <c r="L907" s="136"/>
      <c r="M907" s="159"/>
      <c r="N907" s="84"/>
      <c r="O907" s="84"/>
      <c r="P907" s="84"/>
      <c r="Q907" s="84"/>
      <c r="R907" s="84"/>
      <c r="S907" s="159"/>
      <c r="T907" s="159"/>
      <c r="U907" s="159"/>
      <c r="V907" s="159"/>
      <c r="W907" s="159"/>
      <c r="X907" s="159"/>
      <c r="AA907" s="159"/>
    </row>
    <row r="908" spans="4:27" s="66" customFormat="1">
      <c r="D908" s="75"/>
      <c r="F908" s="158"/>
      <c r="G908" s="64"/>
      <c r="H908" s="30"/>
      <c r="I908" s="136"/>
      <c r="J908" s="136"/>
      <c r="K908" s="136"/>
      <c r="L908" s="136"/>
      <c r="M908" s="159"/>
      <c r="N908" s="84"/>
      <c r="O908" s="84"/>
      <c r="P908" s="84"/>
      <c r="Q908" s="84"/>
      <c r="R908" s="84"/>
      <c r="S908" s="159"/>
      <c r="T908" s="159"/>
      <c r="U908" s="159"/>
      <c r="V908" s="159"/>
      <c r="W908" s="159"/>
      <c r="X908" s="159"/>
      <c r="AA908" s="159"/>
    </row>
    <row r="909" spans="4:27" s="66" customFormat="1">
      <c r="D909" s="75"/>
      <c r="F909" s="158"/>
      <c r="G909" s="64"/>
      <c r="H909" s="30"/>
      <c r="I909" s="136"/>
      <c r="J909" s="136"/>
      <c r="K909" s="136"/>
      <c r="L909" s="136"/>
      <c r="M909" s="159"/>
      <c r="N909" s="84"/>
      <c r="O909" s="84"/>
      <c r="P909" s="84"/>
      <c r="Q909" s="84"/>
      <c r="R909" s="84"/>
      <c r="S909" s="159"/>
      <c r="T909" s="159"/>
      <c r="U909" s="159"/>
      <c r="V909" s="159"/>
      <c r="W909" s="159"/>
      <c r="X909" s="159"/>
      <c r="AA909" s="159"/>
    </row>
    <row r="910" spans="4:27" s="66" customFormat="1">
      <c r="D910" s="75"/>
      <c r="F910" s="158"/>
      <c r="G910" s="64"/>
      <c r="H910" s="30"/>
      <c r="I910" s="136"/>
      <c r="J910" s="136"/>
      <c r="K910" s="136"/>
      <c r="L910" s="136"/>
      <c r="M910" s="159"/>
      <c r="N910" s="84"/>
      <c r="O910" s="84"/>
      <c r="P910" s="84"/>
      <c r="Q910" s="84"/>
      <c r="R910" s="84"/>
      <c r="S910" s="159"/>
      <c r="T910" s="159"/>
      <c r="U910" s="159"/>
      <c r="V910" s="159"/>
      <c r="W910" s="159"/>
      <c r="X910" s="159"/>
      <c r="AA910" s="159"/>
    </row>
    <row r="911" spans="4:27" s="66" customFormat="1">
      <c r="D911" s="75"/>
      <c r="F911" s="158"/>
      <c r="G911" s="64"/>
      <c r="H911" s="30"/>
      <c r="I911" s="136"/>
      <c r="J911" s="136"/>
      <c r="K911" s="136"/>
      <c r="L911" s="136"/>
      <c r="M911" s="159"/>
      <c r="N911" s="84"/>
      <c r="O911" s="84"/>
      <c r="P911" s="84"/>
      <c r="Q911" s="84"/>
      <c r="R911" s="84"/>
      <c r="S911" s="159"/>
      <c r="T911" s="159"/>
      <c r="U911" s="159"/>
      <c r="V911" s="159"/>
      <c r="W911" s="159"/>
      <c r="X911" s="159"/>
      <c r="AA911" s="159"/>
    </row>
    <row r="912" spans="4:27" s="66" customFormat="1">
      <c r="D912" s="75"/>
      <c r="F912" s="158"/>
      <c r="G912" s="64"/>
      <c r="H912" s="30"/>
      <c r="I912" s="136"/>
      <c r="J912" s="136"/>
      <c r="K912" s="136"/>
      <c r="L912" s="136"/>
      <c r="M912" s="159"/>
      <c r="N912" s="84"/>
      <c r="O912" s="84"/>
      <c r="P912" s="84"/>
      <c r="Q912" s="84"/>
      <c r="R912" s="84"/>
      <c r="S912" s="159"/>
      <c r="T912" s="159"/>
      <c r="U912" s="159"/>
      <c r="V912" s="159"/>
      <c r="W912" s="159"/>
      <c r="X912" s="159"/>
      <c r="AA912" s="159"/>
    </row>
    <row r="913" spans="4:27" s="66" customFormat="1">
      <c r="D913" s="75"/>
      <c r="F913" s="158"/>
      <c r="G913" s="64"/>
      <c r="H913" s="30"/>
      <c r="I913" s="136"/>
      <c r="J913" s="136"/>
      <c r="K913" s="136"/>
      <c r="L913" s="136"/>
      <c r="M913" s="159"/>
      <c r="N913" s="84"/>
      <c r="O913" s="84"/>
      <c r="P913" s="84"/>
      <c r="Q913" s="84"/>
      <c r="R913" s="84"/>
      <c r="S913" s="159"/>
      <c r="T913" s="159"/>
      <c r="U913" s="159"/>
      <c r="V913" s="159"/>
      <c r="W913" s="159"/>
      <c r="X913" s="159"/>
      <c r="AA913" s="159"/>
    </row>
    <row r="914" spans="4:27" s="66" customFormat="1">
      <c r="D914" s="75"/>
      <c r="F914" s="158"/>
      <c r="G914" s="64"/>
      <c r="H914" s="30"/>
      <c r="I914" s="136"/>
      <c r="J914" s="136"/>
      <c r="K914" s="136"/>
      <c r="L914" s="136"/>
      <c r="M914" s="159"/>
      <c r="N914" s="84"/>
      <c r="O914" s="84"/>
      <c r="P914" s="84"/>
      <c r="Q914" s="84"/>
      <c r="R914" s="84"/>
      <c r="S914" s="159"/>
      <c r="T914" s="159"/>
      <c r="U914" s="159"/>
      <c r="V914" s="159"/>
      <c r="W914" s="159"/>
      <c r="X914" s="159"/>
      <c r="AA914" s="159"/>
    </row>
    <row r="915" spans="4:27" s="66" customFormat="1">
      <c r="D915" s="75"/>
      <c r="F915" s="158"/>
      <c r="G915" s="64"/>
      <c r="H915" s="30"/>
      <c r="I915" s="136"/>
      <c r="J915" s="136"/>
      <c r="K915" s="136"/>
      <c r="L915" s="136"/>
      <c r="M915" s="159"/>
      <c r="N915" s="84"/>
      <c r="O915" s="84"/>
      <c r="P915" s="84"/>
      <c r="Q915" s="84"/>
      <c r="R915" s="84"/>
      <c r="S915" s="159"/>
      <c r="T915" s="159"/>
      <c r="U915" s="159"/>
      <c r="V915" s="159"/>
      <c r="W915" s="159"/>
      <c r="X915" s="159"/>
      <c r="AA915" s="159"/>
    </row>
    <row r="916" spans="4:27" s="66" customFormat="1">
      <c r="D916" s="75"/>
      <c r="F916" s="158"/>
      <c r="G916" s="64"/>
      <c r="H916" s="30"/>
      <c r="I916" s="136"/>
      <c r="J916" s="136"/>
      <c r="K916" s="136"/>
      <c r="L916" s="136"/>
      <c r="M916" s="159"/>
      <c r="N916" s="84"/>
      <c r="O916" s="84"/>
      <c r="P916" s="84"/>
      <c r="Q916" s="84"/>
      <c r="R916" s="84"/>
      <c r="S916" s="159"/>
      <c r="T916" s="159"/>
      <c r="U916" s="159"/>
      <c r="V916" s="159"/>
      <c r="W916" s="159"/>
      <c r="X916" s="159"/>
      <c r="AA916" s="159"/>
    </row>
    <row r="917" spans="4:27" s="66" customFormat="1">
      <c r="D917" s="75"/>
      <c r="F917" s="158"/>
      <c r="G917" s="64"/>
      <c r="H917" s="30"/>
      <c r="I917" s="136"/>
      <c r="J917" s="136"/>
      <c r="K917" s="136"/>
      <c r="L917" s="136"/>
      <c r="M917" s="159"/>
      <c r="N917" s="84"/>
      <c r="O917" s="84"/>
      <c r="P917" s="84"/>
      <c r="Q917" s="84"/>
      <c r="R917" s="84"/>
      <c r="S917" s="159"/>
      <c r="T917" s="159"/>
      <c r="U917" s="159"/>
      <c r="V917" s="159"/>
      <c r="W917" s="159"/>
      <c r="X917" s="159"/>
      <c r="AA917" s="159"/>
    </row>
    <row r="918" spans="4:27" s="66" customFormat="1">
      <c r="D918" s="75"/>
      <c r="F918" s="158"/>
      <c r="G918" s="64"/>
      <c r="H918" s="30"/>
      <c r="I918" s="136"/>
      <c r="J918" s="136"/>
      <c r="K918" s="136"/>
      <c r="L918" s="136"/>
      <c r="M918" s="159"/>
      <c r="N918" s="84"/>
      <c r="O918" s="84"/>
      <c r="P918" s="84"/>
      <c r="Q918" s="84"/>
      <c r="R918" s="84"/>
      <c r="S918" s="159"/>
      <c r="T918" s="159"/>
      <c r="U918" s="159"/>
      <c r="V918" s="159"/>
      <c r="W918" s="159"/>
      <c r="X918" s="159"/>
      <c r="AA918" s="159"/>
    </row>
    <row r="919" spans="4:27" s="66" customFormat="1">
      <c r="D919" s="75"/>
      <c r="F919" s="158"/>
      <c r="G919" s="64"/>
      <c r="H919" s="30"/>
      <c r="I919" s="136"/>
      <c r="J919" s="136"/>
      <c r="K919" s="136"/>
      <c r="L919" s="136"/>
      <c r="M919" s="159"/>
      <c r="N919" s="84"/>
      <c r="O919" s="84"/>
      <c r="P919" s="84"/>
      <c r="Q919" s="84"/>
      <c r="R919" s="84"/>
      <c r="S919" s="159"/>
      <c r="T919" s="159"/>
      <c r="U919" s="159"/>
      <c r="V919" s="159"/>
      <c r="W919" s="159"/>
      <c r="X919" s="159"/>
      <c r="AA919" s="159"/>
    </row>
    <row r="920" spans="4:27" s="66" customFormat="1">
      <c r="D920" s="75"/>
      <c r="F920" s="158"/>
      <c r="G920" s="64"/>
      <c r="H920" s="30"/>
      <c r="I920" s="136"/>
      <c r="J920" s="136"/>
      <c r="K920" s="136"/>
      <c r="L920" s="136"/>
      <c r="M920" s="159"/>
      <c r="N920" s="84"/>
      <c r="O920" s="84"/>
      <c r="P920" s="84"/>
      <c r="Q920" s="84"/>
      <c r="R920" s="84"/>
      <c r="S920" s="159"/>
      <c r="T920" s="159"/>
      <c r="U920" s="159"/>
      <c r="V920" s="159"/>
      <c r="W920" s="159"/>
      <c r="X920" s="159"/>
      <c r="AA920" s="159"/>
    </row>
    <row r="921" spans="4:27" s="66" customFormat="1">
      <c r="D921" s="75"/>
      <c r="F921" s="158"/>
      <c r="G921" s="64"/>
      <c r="H921" s="30"/>
      <c r="I921" s="136"/>
      <c r="J921" s="136"/>
      <c r="K921" s="136"/>
      <c r="L921" s="136"/>
      <c r="M921" s="159"/>
      <c r="N921" s="84"/>
      <c r="O921" s="84"/>
      <c r="P921" s="84"/>
      <c r="Q921" s="84"/>
      <c r="R921" s="84"/>
      <c r="S921" s="159"/>
      <c r="T921" s="159"/>
      <c r="U921" s="159"/>
      <c r="V921" s="159"/>
      <c r="W921" s="159"/>
      <c r="X921" s="159"/>
      <c r="AA921" s="159"/>
    </row>
    <row r="922" spans="4:27" s="66" customFormat="1">
      <c r="D922" s="75"/>
      <c r="F922" s="158"/>
      <c r="G922" s="64"/>
      <c r="H922" s="30"/>
      <c r="I922" s="136"/>
      <c r="J922" s="136"/>
      <c r="K922" s="136"/>
      <c r="L922" s="136"/>
      <c r="M922" s="159"/>
      <c r="N922" s="84"/>
      <c r="O922" s="84"/>
      <c r="P922" s="84"/>
      <c r="Q922" s="84"/>
      <c r="R922" s="84"/>
      <c r="S922" s="159"/>
      <c r="T922" s="159"/>
      <c r="U922" s="159"/>
      <c r="V922" s="159"/>
      <c r="W922" s="159"/>
      <c r="X922" s="159"/>
      <c r="AA922" s="159"/>
    </row>
    <row r="923" spans="4:27" s="66" customFormat="1">
      <c r="D923" s="75"/>
      <c r="F923" s="158"/>
      <c r="G923" s="64"/>
      <c r="H923" s="30"/>
      <c r="I923" s="136"/>
      <c r="J923" s="136"/>
      <c r="K923" s="136"/>
      <c r="L923" s="136"/>
      <c r="M923" s="159"/>
      <c r="N923" s="84"/>
      <c r="O923" s="84"/>
      <c r="P923" s="84"/>
      <c r="Q923" s="84"/>
      <c r="R923" s="84"/>
      <c r="S923" s="159"/>
      <c r="T923" s="159"/>
      <c r="U923" s="159"/>
      <c r="V923" s="159"/>
      <c r="W923" s="159"/>
      <c r="X923" s="159"/>
      <c r="AA923" s="159"/>
    </row>
    <row r="924" spans="4:27" s="66" customFormat="1">
      <c r="D924" s="75"/>
      <c r="F924" s="158"/>
      <c r="G924" s="64"/>
      <c r="H924" s="30"/>
      <c r="I924" s="136"/>
      <c r="J924" s="136"/>
      <c r="K924" s="136"/>
      <c r="L924" s="136"/>
      <c r="M924" s="159"/>
      <c r="N924" s="84"/>
      <c r="O924" s="84"/>
      <c r="P924" s="84"/>
      <c r="Q924" s="84"/>
      <c r="R924" s="84"/>
      <c r="S924" s="159"/>
      <c r="T924" s="159"/>
      <c r="U924" s="159"/>
      <c r="V924" s="159"/>
      <c r="W924" s="159"/>
      <c r="X924" s="159"/>
      <c r="AA924" s="159"/>
    </row>
    <row r="925" spans="4:27" s="66" customFormat="1">
      <c r="D925" s="75"/>
      <c r="F925" s="158"/>
      <c r="G925" s="64"/>
      <c r="H925" s="30"/>
      <c r="I925" s="136"/>
      <c r="J925" s="136"/>
      <c r="K925" s="136"/>
      <c r="L925" s="136"/>
      <c r="M925" s="159"/>
      <c r="N925" s="84"/>
      <c r="O925" s="84"/>
      <c r="P925" s="84"/>
      <c r="Q925" s="84"/>
      <c r="R925" s="84"/>
      <c r="S925" s="159"/>
      <c r="T925" s="159"/>
      <c r="U925" s="159"/>
      <c r="V925" s="159"/>
      <c r="W925" s="159"/>
      <c r="X925" s="159"/>
      <c r="AA925" s="159"/>
    </row>
    <row r="926" spans="4:27" s="66" customFormat="1">
      <c r="D926" s="75"/>
      <c r="F926" s="158"/>
      <c r="G926" s="64"/>
      <c r="H926" s="30"/>
      <c r="I926" s="136"/>
      <c r="J926" s="136"/>
      <c r="K926" s="136"/>
      <c r="L926" s="136"/>
      <c r="M926" s="159"/>
      <c r="N926" s="84"/>
      <c r="O926" s="84"/>
      <c r="P926" s="84"/>
      <c r="Q926" s="84"/>
      <c r="R926" s="84"/>
      <c r="S926" s="159"/>
      <c r="T926" s="159"/>
      <c r="U926" s="159"/>
      <c r="V926" s="159"/>
      <c r="W926" s="159"/>
      <c r="X926" s="159"/>
      <c r="AA926" s="159"/>
    </row>
    <row r="927" spans="4:27" s="66" customFormat="1">
      <c r="D927" s="75"/>
      <c r="F927" s="158"/>
      <c r="G927" s="64"/>
      <c r="H927" s="30"/>
      <c r="I927" s="136"/>
      <c r="J927" s="136"/>
      <c r="K927" s="136"/>
      <c r="L927" s="136"/>
      <c r="M927" s="159"/>
      <c r="N927" s="84"/>
      <c r="O927" s="84"/>
      <c r="P927" s="84"/>
      <c r="Q927" s="84"/>
      <c r="R927" s="84"/>
      <c r="S927" s="159"/>
      <c r="T927" s="159"/>
      <c r="U927" s="159"/>
      <c r="V927" s="159"/>
      <c r="W927" s="159"/>
      <c r="X927" s="159"/>
      <c r="AA927" s="159"/>
    </row>
    <row r="928" spans="4:27" s="66" customFormat="1">
      <c r="D928" s="75"/>
      <c r="F928" s="158"/>
      <c r="G928" s="64"/>
      <c r="H928" s="30"/>
      <c r="I928" s="136"/>
      <c r="J928" s="136"/>
      <c r="K928" s="136"/>
      <c r="L928" s="136"/>
      <c r="M928" s="159"/>
      <c r="N928" s="84"/>
      <c r="O928" s="84"/>
      <c r="P928" s="84"/>
      <c r="Q928" s="84"/>
      <c r="R928" s="84"/>
      <c r="S928" s="159"/>
      <c r="T928" s="159"/>
      <c r="U928" s="159"/>
      <c r="V928" s="159"/>
      <c r="W928" s="159"/>
      <c r="X928" s="159"/>
      <c r="AA928" s="159"/>
    </row>
    <row r="929" spans="4:27" s="66" customFormat="1">
      <c r="D929" s="75"/>
      <c r="F929" s="158"/>
      <c r="G929" s="64"/>
      <c r="H929" s="30"/>
      <c r="I929" s="136"/>
      <c r="J929" s="136"/>
      <c r="K929" s="136"/>
      <c r="L929" s="136"/>
      <c r="M929" s="159"/>
      <c r="N929" s="84"/>
      <c r="O929" s="84"/>
      <c r="P929" s="84"/>
      <c r="Q929" s="84"/>
      <c r="R929" s="84"/>
      <c r="S929" s="159"/>
      <c r="T929" s="159"/>
      <c r="U929" s="159"/>
      <c r="V929" s="159"/>
      <c r="W929" s="159"/>
      <c r="X929" s="159"/>
      <c r="AA929" s="159"/>
    </row>
    <row r="930" spans="4:27" s="66" customFormat="1">
      <c r="D930" s="75"/>
      <c r="F930" s="158"/>
      <c r="G930" s="64"/>
      <c r="H930" s="30"/>
      <c r="I930" s="136"/>
      <c r="J930" s="136"/>
      <c r="K930" s="136"/>
      <c r="L930" s="136"/>
      <c r="M930" s="159"/>
      <c r="N930" s="84"/>
      <c r="O930" s="84"/>
      <c r="P930" s="84"/>
      <c r="Q930" s="84"/>
      <c r="R930" s="84"/>
      <c r="S930" s="159"/>
      <c r="T930" s="159"/>
      <c r="U930" s="159"/>
      <c r="V930" s="159"/>
      <c r="W930" s="159"/>
      <c r="X930" s="159"/>
      <c r="AA930" s="159"/>
    </row>
    <row r="931" spans="4:27" s="66" customFormat="1">
      <c r="D931" s="75"/>
      <c r="F931" s="158"/>
      <c r="G931" s="64"/>
      <c r="H931" s="30"/>
      <c r="I931" s="136"/>
      <c r="J931" s="136"/>
      <c r="K931" s="136"/>
      <c r="L931" s="136"/>
      <c r="M931" s="159"/>
      <c r="N931" s="84"/>
      <c r="O931" s="84"/>
      <c r="P931" s="84"/>
      <c r="Q931" s="84"/>
      <c r="R931" s="84"/>
      <c r="S931" s="159"/>
      <c r="T931" s="159"/>
      <c r="U931" s="159"/>
      <c r="V931" s="159"/>
      <c r="W931" s="159"/>
      <c r="X931" s="159"/>
      <c r="AA931" s="159"/>
    </row>
    <row r="932" spans="4:27" s="66" customFormat="1">
      <c r="D932" s="75"/>
      <c r="F932" s="158"/>
      <c r="G932" s="64"/>
      <c r="H932" s="30"/>
      <c r="I932" s="136"/>
      <c r="J932" s="136"/>
      <c r="K932" s="136"/>
      <c r="L932" s="136"/>
      <c r="M932" s="159"/>
      <c r="N932" s="84"/>
      <c r="O932" s="84"/>
      <c r="P932" s="84"/>
      <c r="Q932" s="84"/>
      <c r="R932" s="84"/>
      <c r="S932" s="159"/>
      <c r="T932" s="159"/>
      <c r="U932" s="159"/>
      <c r="V932" s="159"/>
      <c r="W932" s="159"/>
      <c r="X932" s="159"/>
      <c r="AA932" s="159"/>
    </row>
    <row r="933" spans="4:27" s="66" customFormat="1">
      <c r="D933" s="75"/>
      <c r="F933" s="158"/>
      <c r="G933" s="64"/>
      <c r="H933" s="30"/>
      <c r="I933" s="136"/>
      <c r="J933" s="136"/>
      <c r="K933" s="136"/>
      <c r="L933" s="136"/>
      <c r="M933" s="159"/>
      <c r="N933" s="84"/>
      <c r="O933" s="84"/>
      <c r="P933" s="84"/>
      <c r="Q933" s="84"/>
      <c r="R933" s="84"/>
      <c r="S933" s="159"/>
      <c r="T933" s="159"/>
      <c r="U933" s="159"/>
      <c r="V933" s="159"/>
      <c r="W933" s="159"/>
      <c r="X933" s="159"/>
      <c r="AA933" s="159"/>
    </row>
    <row r="934" spans="4:27" s="66" customFormat="1">
      <c r="D934" s="75"/>
      <c r="F934" s="158"/>
      <c r="G934" s="64"/>
      <c r="H934" s="30"/>
      <c r="I934" s="136"/>
      <c r="J934" s="136"/>
      <c r="K934" s="136"/>
      <c r="L934" s="136"/>
      <c r="M934" s="159"/>
      <c r="N934" s="84"/>
      <c r="O934" s="84"/>
      <c r="P934" s="84"/>
      <c r="Q934" s="84"/>
      <c r="R934" s="84"/>
      <c r="S934" s="159"/>
      <c r="T934" s="159"/>
      <c r="U934" s="159"/>
      <c r="V934" s="159"/>
      <c r="W934" s="159"/>
      <c r="X934" s="159"/>
      <c r="AA934" s="159"/>
    </row>
    <row r="935" spans="4:27" s="66" customFormat="1">
      <c r="D935" s="75"/>
      <c r="F935" s="158"/>
      <c r="G935" s="64"/>
      <c r="H935" s="30"/>
      <c r="I935" s="136"/>
      <c r="J935" s="136"/>
      <c r="K935" s="136"/>
      <c r="L935" s="136"/>
      <c r="M935" s="159"/>
      <c r="N935" s="84"/>
      <c r="O935" s="84"/>
      <c r="P935" s="84"/>
      <c r="Q935" s="84"/>
      <c r="R935" s="84"/>
      <c r="S935" s="159"/>
      <c r="T935" s="159"/>
      <c r="U935" s="159"/>
      <c r="V935" s="159"/>
      <c r="W935" s="159"/>
      <c r="X935" s="159"/>
      <c r="AA935" s="159"/>
    </row>
    <row r="936" spans="4:27" s="66" customFormat="1">
      <c r="D936" s="75"/>
      <c r="F936" s="158"/>
      <c r="G936" s="64"/>
      <c r="H936" s="30"/>
      <c r="I936" s="136"/>
      <c r="J936" s="136"/>
      <c r="K936" s="136"/>
      <c r="L936" s="136"/>
      <c r="M936" s="159"/>
      <c r="N936" s="84"/>
      <c r="O936" s="84"/>
      <c r="P936" s="84"/>
      <c r="Q936" s="84"/>
      <c r="R936" s="84"/>
      <c r="S936" s="159"/>
      <c r="T936" s="159"/>
      <c r="U936" s="159"/>
      <c r="V936" s="159"/>
      <c r="W936" s="159"/>
      <c r="X936" s="159"/>
      <c r="AA936" s="159"/>
    </row>
    <row r="937" spans="4:27" s="66" customFormat="1">
      <c r="D937" s="75"/>
      <c r="F937" s="158"/>
      <c r="G937" s="64"/>
      <c r="H937" s="30"/>
      <c r="I937" s="136"/>
      <c r="J937" s="136"/>
      <c r="K937" s="136"/>
      <c r="L937" s="136"/>
      <c r="M937" s="159"/>
      <c r="N937" s="84"/>
      <c r="O937" s="84"/>
      <c r="P937" s="84"/>
      <c r="Q937" s="84"/>
      <c r="R937" s="84"/>
      <c r="S937" s="159"/>
      <c r="T937" s="159"/>
      <c r="U937" s="159"/>
      <c r="V937" s="159"/>
      <c r="W937" s="159"/>
      <c r="X937" s="159"/>
      <c r="AA937" s="159"/>
    </row>
    <row r="938" spans="4:27" s="66" customFormat="1">
      <c r="D938" s="75"/>
      <c r="F938" s="158"/>
      <c r="G938" s="64"/>
      <c r="H938" s="30"/>
      <c r="I938" s="136"/>
      <c r="J938" s="136"/>
      <c r="K938" s="136"/>
      <c r="L938" s="136"/>
      <c r="M938" s="159"/>
      <c r="N938" s="84"/>
      <c r="O938" s="84"/>
      <c r="P938" s="84"/>
      <c r="Q938" s="84"/>
      <c r="R938" s="84"/>
      <c r="S938" s="159"/>
      <c r="T938" s="159"/>
      <c r="U938" s="159"/>
      <c r="V938" s="159"/>
      <c r="W938" s="159"/>
      <c r="X938" s="159"/>
      <c r="AA938" s="159"/>
    </row>
    <row r="939" spans="4:27" s="66" customFormat="1">
      <c r="D939" s="75"/>
      <c r="F939" s="158"/>
      <c r="G939" s="64"/>
      <c r="H939" s="30"/>
      <c r="I939" s="136"/>
      <c r="J939" s="136"/>
      <c r="K939" s="136"/>
      <c r="L939" s="136"/>
      <c r="M939" s="159"/>
      <c r="N939" s="84"/>
      <c r="O939" s="84"/>
      <c r="P939" s="84"/>
      <c r="Q939" s="84"/>
      <c r="R939" s="84"/>
      <c r="S939" s="159"/>
      <c r="T939" s="159"/>
      <c r="U939" s="159"/>
      <c r="V939" s="159"/>
      <c r="W939" s="159"/>
      <c r="X939" s="159"/>
      <c r="AA939" s="159"/>
    </row>
    <row r="940" spans="4:27" s="66" customFormat="1">
      <c r="D940" s="75"/>
      <c r="F940" s="158"/>
      <c r="G940" s="64"/>
      <c r="H940" s="30"/>
      <c r="I940" s="136"/>
      <c r="J940" s="136"/>
      <c r="K940" s="136"/>
      <c r="L940" s="136"/>
      <c r="M940" s="159"/>
      <c r="N940" s="84"/>
      <c r="O940" s="84"/>
      <c r="P940" s="84"/>
      <c r="Q940" s="84"/>
      <c r="R940" s="84"/>
      <c r="S940" s="159"/>
      <c r="T940" s="159"/>
      <c r="U940" s="159"/>
      <c r="V940" s="159"/>
      <c r="W940" s="159"/>
      <c r="X940" s="159"/>
      <c r="AA940" s="159"/>
    </row>
    <row r="941" spans="4:27" s="66" customFormat="1">
      <c r="D941" s="75"/>
      <c r="F941" s="158"/>
      <c r="G941" s="64"/>
      <c r="H941" s="30"/>
      <c r="I941" s="136"/>
      <c r="J941" s="136"/>
      <c r="K941" s="136"/>
      <c r="L941" s="136"/>
      <c r="M941" s="159"/>
      <c r="N941" s="84"/>
      <c r="O941" s="84"/>
      <c r="P941" s="84"/>
      <c r="Q941" s="84"/>
      <c r="R941" s="84"/>
      <c r="S941" s="159"/>
      <c r="T941" s="159"/>
      <c r="U941" s="159"/>
      <c r="V941" s="159"/>
      <c r="W941" s="159"/>
      <c r="X941" s="159"/>
      <c r="AA941" s="159"/>
    </row>
    <row r="942" spans="4:27" s="66" customFormat="1">
      <c r="D942" s="75"/>
      <c r="F942" s="158"/>
      <c r="G942" s="64"/>
      <c r="H942" s="30"/>
      <c r="I942" s="136"/>
      <c r="J942" s="136"/>
      <c r="K942" s="136"/>
      <c r="L942" s="136"/>
      <c r="M942" s="159"/>
      <c r="N942" s="84"/>
      <c r="O942" s="84"/>
      <c r="P942" s="84"/>
      <c r="Q942" s="84"/>
      <c r="R942" s="84"/>
      <c r="S942" s="159"/>
      <c r="T942" s="159"/>
      <c r="U942" s="159"/>
      <c r="V942" s="159"/>
      <c r="W942" s="159"/>
      <c r="X942" s="159"/>
      <c r="AA942" s="159"/>
    </row>
    <row r="943" spans="4:27" s="66" customFormat="1">
      <c r="D943" s="75"/>
      <c r="F943" s="158"/>
      <c r="G943" s="64"/>
      <c r="H943" s="30"/>
      <c r="I943" s="136"/>
      <c r="J943" s="136"/>
      <c r="K943" s="136"/>
      <c r="L943" s="136"/>
      <c r="M943" s="159"/>
      <c r="N943" s="84"/>
      <c r="O943" s="84"/>
      <c r="P943" s="84"/>
      <c r="Q943" s="84"/>
      <c r="R943" s="84"/>
      <c r="S943" s="159"/>
      <c r="T943" s="159"/>
      <c r="U943" s="159"/>
      <c r="V943" s="159"/>
      <c r="W943" s="159"/>
      <c r="X943" s="159"/>
      <c r="AA943" s="159"/>
    </row>
    <row r="944" spans="4:27" s="66" customFormat="1">
      <c r="D944" s="75"/>
      <c r="F944" s="158"/>
      <c r="G944" s="64"/>
      <c r="H944" s="30"/>
      <c r="I944" s="136"/>
      <c r="J944" s="136"/>
      <c r="K944" s="136"/>
      <c r="L944" s="136"/>
      <c r="M944" s="159"/>
      <c r="N944" s="84"/>
      <c r="O944" s="84"/>
      <c r="P944" s="84"/>
      <c r="Q944" s="84"/>
      <c r="R944" s="84"/>
      <c r="S944" s="159"/>
      <c r="T944" s="159"/>
      <c r="U944" s="159"/>
      <c r="V944" s="159"/>
      <c r="W944" s="159"/>
      <c r="X944" s="159"/>
      <c r="AA944" s="159"/>
    </row>
    <row r="945" spans="4:27" s="66" customFormat="1">
      <c r="D945" s="75"/>
      <c r="F945" s="158"/>
      <c r="G945" s="64"/>
      <c r="H945" s="30"/>
      <c r="I945" s="136"/>
      <c r="J945" s="136"/>
      <c r="K945" s="136"/>
      <c r="L945" s="136"/>
      <c r="M945" s="159"/>
      <c r="N945" s="84"/>
      <c r="O945" s="84"/>
      <c r="P945" s="84"/>
      <c r="Q945" s="84"/>
      <c r="R945" s="84"/>
      <c r="S945" s="159"/>
      <c r="T945" s="159"/>
      <c r="U945" s="159"/>
      <c r="V945" s="159"/>
      <c r="W945" s="159"/>
      <c r="X945" s="159"/>
      <c r="AA945" s="159"/>
    </row>
    <row r="946" spans="4:27" s="66" customFormat="1">
      <c r="D946" s="75"/>
      <c r="F946" s="158"/>
      <c r="G946" s="64"/>
      <c r="H946" s="30"/>
      <c r="I946" s="136"/>
      <c r="J946" s="136"/>
      <c r="K946" s="136"/>
      <c r="L946" s="136"/>
      <c r="M946" s="159"/>
      <c r="N946" s="84"/>
      <c r="O946" s="84"/>
      <c r="P946" s="84"/>
      <c r="Q946" s="84"/>
      <c r="R946" s="84"/>
      <c r="S946" s="159"/>
      <c r="T946" s="159"/>
      <c r="U946" s="159"/>
      <c r="V946" s="159"/>
      <c r="W946" s="159"/>
      <c r="X946" s="159"/>
      <c r="AA946" s="159"/>
    </row>
    <row r="947" spans="4:27" s="66" customFormat="1">
      <c r="D947" s="75"/>
      <c r="F947" s="158"/>
      <c r="G947" s="64"/>
      <c r="H947" s="30"/>
      <c r="I947" s="136"/>
      <c r="J947" s="136"/>
      <c r="K947" s="136"/>
      <c r="L947" s="136"/>
      <c r="M947" s="159"/>
      <c r="N947" s="84"/>
      <c r="O947" s="84"/>
      <c r="P947" s="84"/>
      <c r="Q947" s="84"/>
      <c r="R947" s="84"/>
      <c r="S947" s="159"/>
      <c r="T947" s="159"/>
      <c r="U947" s="159"/>
      <c r="V947" s="159"/>
      <c r="W947" s="159"/>
      <c r="X947" s="159"/>
      <c r="AA947" s="159"/>
    </row>
    <row r="948" spans="4:27" s="66" customFormat="1">
      <c r="D948" s="75"/>
      <c r="F948" s="158"/>
      <c r="G948" s="64"/>
      <c r="H948" s="30"/>
      <c r="I948" s="136"/>
      <c r="J948" s="136"/>
      <c r="K948" s="136"/>
      <c r="L948" s="136"/>
      <c r="M948" s="159"/>
      <c r="N948" s="84"/>
      <c r="O948" s="84"/>
      <c r="P948" s="84"/>
      <c r="Q948" s="84"/>
      <c r="R948" s="84"/>
      <c r="S948" s="159"/>
      <c r="T948" s="159"/>
      <c r="U948" s="159"/>
      <c r="V948" s="159"/>
      <c r="W948" s="159"/>
      <c r="X948" s="159"/>
      <c r="AA948" s="159"/>
    </row>
    <row r="949" spans="4:27" s="66" customFormat="1">
      <c r="D949" s="75"/>
      <c r="F949" s="158"/>
      <c r="G949" s="64"/>
      <c r="H949" s="30"/>
      <c r="I949" s="136"/>
      <c r="J949" s="136"/>
      <c r="K949" s="136"/>
      <c r="L949" s="136"/>
      <c r="M949" s="159"/>
      <c r="N949" s="84"/>
      <c r="O949" s="84"/>
      <c r="P949" s="84"/>
      <c r="Q949" s="84"/>
      <c r="R949" s="84"/>
      <c r="S949" s="159"/>
      <c r="T949" s="159"/>
      <c r="U949" s="159"/>
      <c r="V949" s="159"/>
      <c r="W949" s="159"/>
      <c r="X949" s="159"/>
      <c r="AA949" s="159"/>
    </row>
    <row r="950" spans="4:27" s="66" customFormat="1">
      <c r="D950" s="75"/>
      <c r="F950" s="158"/>
      <c r="G950" s="64"/>
      <c r="H950" s="30"/>
      <c r="I950" s="136"/>
      <c r="J950" s="136"/>
      <c r="K950" s="136"/>
      <c r="L950" s="136"/>
      <c r="M950" s="159"/>
      <c r="N950" s="84"/>
      <c r="O950" s="84"/>
      <c r="P950" s="84"/>
      <c r="Q950" s="84"/>
      <c r="R950" s="84"/>
      <c r="S950" s="159"/>
      <c r="T950" s="159"/>
      <c r="U950" s="159"/>
      <c r="V950" s="159"/>
      <c r="W950" s="159"/>
      <c r="X950" s="159"/>
      <c r="AA950" s="159"/>
    </row>
    <row r="951" spans="4:27" s="66" customFormat="1">
      <c r="D951" s="75"/>
      <c r="F951" s="158"/>
      <c r="G951" s="64"/>
      <c r="H951" s="30"/>
      <c r="I951" s="136"/>
      <c r="J951" s="136"/>
      <c r="K951" s="136"/>
      <c r="L951" s="136"/>
      <c r="M951" s="159"/>
      <c r="N951" s="84"/>
      <c r="O951" s="84"/>
      <c r="P951" s="84"/>
      <c r="Q951" s="84"/>
      <c r="R951" s="84"/>
      <c r="S951" s="159"/>
      <c r="T951" s="159"/>
      <c r="U951" s="159"/>
      <c r="V951" s="159"/>
      <c r="W951" s="159"/>
      <c r="X951" s="159"/>
      <c r="AA951" s="159"/>
    </row>
    <row r="952" spans="4:27" s="66" customFormat="1">
      <c r="D952" s="75"/>
      <c r="F952" s="158"/>
      <c r="G952" s="64"/>
      <c r="H952" s="30"/>
      <c r="I952" s="136"/>
      <c r="J952" s="136"/>
      <c r="K952" s="136"/>
      <c r="L952" s="136"/>
      <c r="M952" s="159"/>
      <c r="N952" s="84"/>
      <c r="O952" s="84"/>
      <c r="P952" s="84"/>
      <c r="Q952" s="84"/>
      <c r="R952" s="84"/>
      <c r="S952" s="159"/>
      <c r="T952" s="159"/>
      <c r="U952" s="159"/>
      <c r="V952" s="159"/>
      <c r="W952" s="159"/>
      <c r="X952" s="159"/>
      <c r="AA952" s="159"/>
    </row>
    <row r="953" spans="4:27" s="66" customFormat="1">
      <c r="D953" s="75"/>
      <c r="F953" s="158"/>
      <c r="G953" s="64"/>
      <c r="H953" s="30"/>
      <c r="I953" s="136"/>
      <c r="J953" s="136"/>
      <c r="K953" s="136"/>
      <c r="L953" s="136"/>
      <c r="M953" s="159"/>
      <c r="N953" s="84"/>
      <c r="O953" s="84"/>
      <c r="P953" s="84"/>
      <c r="Q953" s="84"/>
      <c r="R953" s="84"/>
      <c r="S953" s="159"/>
      <c r="T953" s="159"/>
      <c r="U953" s="159"/>
      <c r="V953" s="159"/>
      <c r="W953" s="159"/>
      <c r="X953" s="159"/>
      <c r="AA953" s="159"/>
    </row>
    <row r="954" spans="4:27" s="66" customFormat="1">
      <c r="D954" s="75"/>
      <c r="F954" s="158"/>
      <c r="G954" s="64"/>
      <c r="H954" s="30"/>
      <c r="I954" s="136"/>
      <c r="J954" s="136"/>
      <c r="K954" s="136"/>
      <c r="L954" s="136"/>
      <c r="M954" s="159"/>
      <c r="N954" s="84"/>
      <c r="O954" s="84"/>
      <c r="P954" s="84"/>
      <c r="Q954" s="84"/>
      <c r="R954" s="84"/>
      <c r="S954" s="159"/>
      <c r="T954" s="159"/>
      <c r="U954" s="159"/>
      <c r="V954" s="159"/>
      <c r="W954" s="159"/>
      <c r="X954" s="159"/>
      <c r="AA954" s="159"/>
    </row>
    <row r="955" spans="4:27" s="66" customFormat="1">
      <c r="D955" s="75"/>
      <c r="F955" s="158"/>
      <c r="G955" s="64"/>
      <c r="H955" s="30"/>
      <c r="I955" s="136"/>
      <c r="J955" s="136"/>
      <c r="K955" s="136"/>
      <c r="L955" s="136"/>
      <c r="M955" s="159"/>
      <c r="N955" s="84"/>
      <c r="O955" s="84"/>
      <c r="P955" s="84"/>
      <c r="Q955" s="84"/>
      <c r="R955" s="84"/>
      <c r="S955" s="159"/>
      <c r="T955" s="159"/>
      <c r="U955" s="159"/>
      <c r="V955" s="159"/>
      <c r="W955" s="159"/>
      <c r="X955" s="159"/>
      <c r="AA955" s="159"/>
    </row>
    <row r="956" spans="4:27" s="66" customFormat="1">
      <c r="D956" s="75"/>
      <c r="F956" s="158"/>
      <c r="G956" s="64"/>
      <c r="H956" s="30"/>
      <c r="I956" s="136"/>
      <c r="J956" s="136"/>
      <c r="K956" s="136"/>
      <c r="L956" s="136"/>
      <c r="M956" s="159"/>
      <c r="N956" s="84"/>
      <c r="O956" s="84"/>
      <c r="P956" s="84"/>
      <c r="Q956" s="84"/>
      <c r="R956" s="84"/>
      <c r="S956" s="159"/>
      <c r="T956" s="159"/>
      <c r="U956" s="159"/>
      <c r="V956" s="159"/>
      <c r="W956" s="159"/>
      <c r="X956" s="159"/>
      <c r="AA956" s="159"/>
    </row>
    <row r="957" spans="4:27" s="66" customFormat="1">
      <c r="D957" s="75"/>
      <c r="F957" s="158"/>
      <c r="G957" s="64"/>
      <c r="H957" s="30"/>
      <c r="I957" s="136"/>
      <c r="J957" s="136"/>
      <c r="K957" s="136"/>
      <c r="L957" s="136"/>
      <c r="M957" s="159"/>
      <c r="N957" s="84"/>
      <c r="O957" s="84"/>
      <c r="P957" s="84"/>
      <c r="Q957" s="84"/>
      <c r="R957" s="84"/>
      <c r="S957" s="159"/>
      <c r="T957" s="159"/>
      <c r="U957" s="159"/>
      <c r="V957" s="159"/>
      <c r="W957" s="159"/>
      <c r="X957" s="159"/>
      <c r="AA957" s="159"/>
    </row>
    <row r="958" spans="4:27" s="66" customFormat="1">
      <c r="D958" s="75"/>
      <c r="F958" s="158"/>
      <c r="G958" s="64"/>
      <c r="H958" s="30"/>
      <c r="I958" s="136"/>
      <c r="J958" s="136"/>
      <c r="K958" s="136"/>
      <c r="L958" s="136"/>
      <c r="M958" s="159"/>
      <c r="N958" s="84"/>
      <c r="O958" s="84"/>
      <c r="P958" s="84"/>
      <c r="Q958" s="84"/>
      <c r="R958" s="84"/>
      <c r="S958" s="159"/>
      <c r="T958" s="159"/>
      <c r="U958" s="159"/>
      <c r="V958" s="159"/>
      <c r="W958" s="159"/>
      <c r="X958" s="159"/>
      <c r="AA958" s="159"/>
    </row>
    <row r="959" spans="4:27" s="66" customFormat="1">
      <c r="D959" s="75"/>
      <c r="F959" s="158"/>
      <c r="G959" s="64"/>
      <c r="H959" s="30"/>
      <c r="I959" s="136"/>
      <c r="J959" s="136"/>
      <c r="K959" s="136"/>
      <c r="L959" s="136"/>
      <c r="M959" s="159"/>
      <c r="N959" s="84"/>
      <c r="O959" s="84"/>
      <c r="P959" s="84"/>
      <c r="Q959" s="84"/>
      <c r="R959" s="84"/>
      <c r="S959" s="159"/>
      <c r="T959" s="159"/>
      <c r="U959" s="159"/>
      <c r="V959" s="159"/>
      <c r="W959" s="159"/>
      <c r="X959" s="159"/>
      <c r="AA959" s="159"/>
    </row>
    <row r="960" spans="4:27" s="66" customFormat="1">
      <c r="D960" s="75"/>
      <c r="F960" s="158"/>
      <c r="G960" s="64"/>
      <c r="H960" s="30"/>
      <c r="I960" s="136"/>
      <c r="J960" s="136"/>
      <c r="K960" s="136"/>
      <c r="L960" s="136"/>
      <c r="M960" s="159"/>
      <c r="N960" s="84"/>
      <c r="O960" s="84"/>
      <c r="P960" s="84"/>
      <c r="Q960" s="84"/>
      <c r="R960" s="84"/>
      <c r="S960" s="159"/>
      <c r="T960" s="159"/>
      <c r="U960" s="159"/>
      <c r="V960" s="159"/>
      <c r="W960" s="159"/>
      <c r="X960" s="159"/>
      <c r="AA960" s="159"/>
    </row>
    <row r="961" spans="4:27" s="66" customFormat="1">
      <c r="D961" s="75"/>
      <c r="F961" s="158"/>
      <c r="G961" s="64"/>
      <c r="H961" s="30"/>
      <c r="I961" s="136"/>
      <c r="J961" s="136"/>
      <c r="K961" s="136"/>
      <c r="L961" s="136"/>
      <c r="M961" s="159"/>
      <c r="N961" s="84"/>
      <c r="O961" s="84"/>
      <c r="P961" s="84"/>
      <c r="Q961" s="84"/>
      <c r="R961" s="84"/>
      <c r="S961" s="159"/>
      <c r="T961" s="159"/>
      <c r="U961" s="159"/>
      <c r="V961" s="159"/>
      <c r="W961" s="159"/>
      <c r="X961" s="159"/>
      <c r="AA961" s="159"/>
    </row>
    <row r="962" spans="4:27" s="66" customFormat="1">
      <c r="D962" s="75"/>
      <c r="F962" s="158"/>
      <c r="G962" s="64"/>
      <c r="H962" s="30"/>
      <c r="I962" s="136"/>
      <c r="J962" s="136"/>
      <c r="K962" s="136"/>
      <c r="L962" s="136"/>
      <c r="M962" s="159"/>
      <c r="N962" s="84"/>
      <c r="O962" s="84"/>
      <c r="P962" s="84"/>
      <c r="Q962" s="84"/>
      <c r="R962" s="84"/>
      <c r="S962" s="159"/>
      <c r="T962" s="159"/>
      <c r="U962" s="159"/>
      <c r="V962" s="159"/>
      <c r="W962" s="159"/>
      <c r="X962" s="159"/>
      <c r="AA962" s="159"/>
    </row>
    <row r="963" spans="4:27" s="66" customFormat="1">
      <c r="D963" s="75"/>
      <c r="F963" s="158"/>
      <c r="G963" s="64"/>
      <c r="H963" s="30"/>
      <c r="I963" s="136"/>
      <c r="J963" s="136"/>
      <c r="K963" s="136"/>
      <c r="L963" s="136"/>
      <c r="M963" s="159"/>
      <c r="N963" s="84"/>
      <c r="O963" s="84"/>
      <c r="P963" s="84"/>
      <c r="Q963" s="84"/>
      <c r="R963" s="84"/>
      <c r="S963" s="159"/>
      <c r="T963" s="159"/>
      <c r="U963" s="159"/>
      <c r="V963" s="159"/>
      <c r="W963" s="159"/>
      <c r="X963" s="159"/>
      <c r="AA963" s="159"/>
    </row>
    <row r="964" spans="4:27" s="66" customFormat="1">
      <c r="D964" s="75"/>
      <c r="F964" s="158"/>
      <c r="G964" s="64"/>
      <c r="H964" s="30"/>
      <c r="I964" s="136"/>
      <c r="J964" s="136"/>
      <c r="K964" s="136"/>
      <c r="L964" s="136"/>
      <c r="M964" s="159"/>
      <c r="N964" s="84"/>
      <c r="O964" s="84"/>
      <c r="P964" s="84"/>
      <c r="Q964" s="84"/>
      <c r="R964" s="84"/>
      <c r="S964" s="159"/>
      <c r="T964" s="159"/>
      <c r="U964" s="159"/>
      <c r="V964" s="159"/>
      <c r="W964" s="159"/>
      <c r="X964" s="159"/>
      <c r="AA964" s="159"/>
    </row>
    <row r="965" spans="4:27" s="66" customFormat="1">
      <c r="D965" s="75"/>
      <c r="F965" s="158"/>
      <c r="G965" s="64"/>
      <c r="H965" s="30"/>
      <c r="I965" s="136"/>
      <c r="J965" s="136"/>
      <c r="K965" s="136"/>
      <c r="L965" s="136"/>
      <c r="M965" s="159"/>
      <c r="N965" s="84"/>
      <c r="O965" s="84"/>
      <c r="P965" s="84"/>
      <c r="Q965" s="84"/>
      <c r="R965" s="84"/>
      <c r="S965" s="159"/>
      <c r="T965" s="159"/>
      <c r="U965" s="159"/>
      <c r="V965" s="159"/>
      <c r="W965" s="159"/>
      <c r="X965" s="159"/>
      <c r="AA965" s="159"/>
    </row>
    <row r="966" spans="4:27" s="66" customFormat="1">
      <c r="D966" s="75"/>
      <c r="F966" s="158"/>
      <c r="G966" s="64"/>
      <c r="H966" s="30"/>
      <c r="I966" s="136"/>
      <c r="J966" s="136"/>
      <c r="K966" s="136"/>
      <c r="L966" s="136"/>
      <c r="M966" s="159"/>
      <c r="N966" s="84"/>
      <c r="O966" s="84"/>
      <c r="P966" s="84"/>
      <c r="Q966" s="84"/>
      <c r="R966" s="84"/>
      <c r="S966" s="159"/>
      <c r="T966" s="159"/>
      <c r="U966" s="159"/>
      <c r="V966" s="159"/>
      <c r="W966" s="159"/>
      <c r="X966" s="159"/>
      <c r="AA966" s="159"/>
    </row>
    <row r="967" spans="4:27" s="66" customFormat="1">
      <c r="D967" s="75"/>
      <c r="F967" s="158"/>
      <c r="G967" s="64"/>
      <c r="H967" s="30"/>
      <c r="I967" s="136"/>
      <c r="J967" s="136"/>
      <c r="K967" s="136"/>
      <c r="L967" s="136"/>
      <c r="M967" s="159"/>
      <c r="N967" s="84"/>
      <c r="O967" s="84"/>
      <c r="P967" s="84"/>
      <c r="Q967" s="84"/>
      <c r="R967" s="84"/>
      <c r="S967" s="159"/>
      <c r="T967" s="159"/>
      <c r="U967" s="159"/>
      <c r="V967" s="159"/>
      <c r="W967" s="159"/>
      <c r="X967" s="159"/>
      <c r="AA967" s="159"/>
    </row>
    <row r="968" spans="4:27" s="66" customFormat="1">
      <c r="D968" s="75"/>
      <c r="F968" s="158"/>
      <c r="G968" s="64"/>
      <c r="H968" s="30"/>
      <c r="I968" s="136"/>
      <c r="J968" s="136"/>
      <c r="K968" s="136"/>
      <c r="L968" s="136"/>
      <c r="M968" s="159"/>
      <c r="N968" s="84"/>
      <c r="O968" s="84"/>
      <c r="P968" s="84"/>
      <c r="Q968" s="84"/>
      <c r="R968" s="84"/>
      <c r="S968" s="159"/>
      <c r="T968" s="159"/>
      <c r="U968" s="159"/>
      <c r="V968" s="159"/>
      <c r="W968" s="159"/>
      <c r="X968" s="159"/>
      <c r="AA968" s="159"/>
    </row>
    <row r="969" spans="4:27" s="66" customFormat="1">
      <c r="D969" s="75"/>
      <c r="F969" s="158"/>
      <c r="G969" s="64"/>
      <c r="H969" s="30"/>
      <c r="I969" s="136"/>
      <c r="J969" s="136"/>
      <c r="K969" s="136"/>
      <c r="L969" s="136"/>
      <c r="M969" s="159"/>
      <c r="N969" s="84"/>
      <c r="O969" s="84"/>
      <c r="P969" s="84"/>
      <c r="Q969" s="84"/>
      <c r="R969" s="84"/>
      <c r="S969" s="159"/>
      <c r="T969" s="159"/>
      <c r="U969" s="159"/>
      <c r="V969" s="159"/>
      <c r="W969" s="159"/>
      <c r="X969" s="159"/>
      <c r="AA969" s="159"/>
    </row>
    <row r="970" spans="4:27" s="66" customFormat="1">
      <c r="D970" s="75"/>
      <c r="F970" s="158"/>
      <c r="G970" s="64"/>
      <c r="H970" s="30"/>
      <c r="I970" s="136"/>
      <c r="J970" s="136"/>
      <c r="K970" s="136"/>
      <c r="L970" s="136"/>
      <c r="M970" s="159"/>
      <c r="N970" s="84"/>
      <c r="O970" s="84"/>
      <c r="P970" s="84"/>
      <c r="Q970" s="84"/>
      <c r="R970" s="84"/>
      <c r="S970" s="159"/>
      <c r="T970" s="159"/>
      <c r="U970" s="159"/>
      <c r="V970" s="159"/>
      <c r="W970" s="159"/>
      <c r="X970" s="159"/>
      <c r="AA970" s="159"/>
    </row>
    <row r="971" spans="4:27" s="66" customFormat="1">
      <c r="D971" s="75"/>
      <c r="F971" s="158"/>
      <c r="G971" s="64"/>
      <c r="H971" s="30"/>
      <c r="I971" s="136"/>
      <c r="J971" s="136"/>
      <c r="K971" s="136"/>
      <c r="L971" s="136"/>
      <c r="M971" s="159"/>
      <c r="N971" s="84"/>
      <c r="O971" s="84"/>
      <c r="P971" s="84"/>
      <c r="Q971" s="84"/>
      <c r="R971" s="84"/>
      <c r="S971" s="159"/>
      <c r="T971" s="159"/>
      <c r="U971" s="159"/>
      <c r="V971" s="159"/>
      <c r="W971" s="159"/>
      <c r="X971" s="159"/>
      <c r="AA971" s="159"/>
    </row>
    <row r="972" spans="4:27" s="66" customFormat="1">
      <c r="D972" s="75"/>
      <c r="F972" s="158"/>
      <c r="G972" s="64"/>
      <c r="H972" s="30"/>
      <c r="I972" s="136"/>
      <c r="J972" s="136"/>
      <c r="K972" s="136"/>
      <c r="L972" s="136"/>
      <c r="M972" s="159"/>
      <c r="N972" s="84"/>
      <c r="O972" s="84"/>
      <c r="P972" s="84"/>
      <c r="Q972" s="84"/>
      <c r="R972" s="84"/>
      <c r="S972" s="159"/>
      <c r="T972" s="159"/>
      <c r="U972" s="159"/>
      <c r="V972" s="159"/>
      <c r="W972" s="159"/>
      <c r="X972" s="159"/>
      <c r="AA972" s="159"/>
    </row>
    <row r="973" spans="4:27" s="66" customFormat="1">
      <c r="D973" s="75"/>
      <c r="F973" s="158"/>
      <c r="G973" s="64"/>
      <c r="H973" s="30"/>
      <c r="I973" s="136"/>
      <c r="J973" s="136"/>
      <c r="K973" s="136"/>
      <c r="L973" s="136"/>
      <c r="M973" s="159"/>
      <c r="N973" s="84"/>
      <c r="O973" s="84"/>
      <c r="P973" s="84"/>
      <c r="Q973" s="84"/>
      <c r="R973" s="84"/>
      <c r="S973" s="159"/>
      <c r="T973" s="159"/>
      <c r="U973" s="159"/>
      <c r="V973" s="159"/>
      <c r="W973" s="159"/>
      <c r="X973" s="159"/>
      <c r="AA973" s="159"/>
    </row>
    <row r="974" spans="4:27" s="66" customFormat="1">
      <c r="D974" s="75"/>
      <c r="F974" s="158"/>
      <c r="G974" s="64"/>
      <c r="H974" s="30"/>
      <c r="I974" s="136"/>
      <c r="J974" s="136"/>
      <c r="K974" s="136"/>
      <c r="L974" s="136"/>
      <c r="M974" s="159"/>
      <c r="N974" s="84"/>
      <c r="O974" s="84"/>
      <c r="P974" s="84"/>
      <c r="Q974" s="84"/>
      <c r="R974" s="84"/>
      <c r="S974" s="159"/>
      <c r="T974" s="159"/>
      <c r="U974" s="159"/>
      <c r="V974" s="159"/>
      <c r="W974" s="159"/>
      <c r="X974" s="159"/>
      <c r="AA974" s="159"/>
    </row>
    <row r="975" spans="4:27" s="66" customFormat="1">
      <c r="D975" s="75"/>
      <c r="F975" s="158"/>
      <c r="G975" s="64"/>
      <c r="H975" s="30"/>
      <c r="I975" s="136"/>
      <c r="J975" s="136"/>
      <c r="K975" s="136"/>
      <c r="L975" s="136"/>
      <c r="M975" s="159"/>
      <c r="N975" s="84"/>
      <c r="O975" s="84"/>
      <c r="P975" s="84"/>
      <c r="Q975" s="84"/>
      <c r="R975" s="84"/>
      <c r="S975" s="159"/>
      <c r="T975" s="159"/>
      <c r="U975" s="159"/>
      <c r="V975" s="159"/>
      <c r="W975" s="159"/>
      <c r="X975" s="159"/>
      <c r="AA975" s="159"/>
    </row>
    <row r="976" spans="4:27" s="66" customFormat="1">
      <c r="D976" s="75"/>
      <c r="F976" s="158"/>
      <c r="G976" s="64"/>
      <c r="H976" s="30"/>
      <c r="I976" s="136"/>
      <c r="J976" s="136"/>
      <c r="K976" s="136"/>
      <c r="L976" s="136"/>
      <c r="M976" s="159"/>
      <c r="N976" s="84"/>
      <c r="O976" s="84"/>
      <c r="P976" s="84"/>
      <c r="Q976" s="84"/>
      <c r="R976" s="84"/>
      <c r="S976" s="159"/>
      <c r="T976" s="159"/>
      <c r="U976" s="159"/>
      <c r="V976" s="159"/>
      <c r="W976" s="159"/>
      <c r="X976" s="159"/>
      <c r="AA976" s="159"/>
    </row>
    <row r="977" spans="4:27" s="66" customFormat="1">
      <c r="D977" s="75"/>
      <c r="F977" s="158"/>
      <c r="G977" s="64"/>
      <c r="H977" s="30"/>
      <c r="I977" s="136"/>
      <c r="J977" s="136"/>
      <c r="K977" s="136"/>
      <c r="L977" s="136"/>
      <c r="M977" s="159"/>
      <c r="N977" s="84"/>
      <c r="O977" s="84"/>
      <c r="P977" s="84"/>
      <c r="Q977" s="84"/>
      <c r="R977" s="84"/>
      <c r="S977" s="159"/>
      <c r="T977" s="159"/>
      <c r="U977" s="159"/>
      <c r="V977" s="159"/>
      <c r="W977" s="159"/>
      <c r="X977" s="159"/>
      <c r="AA977" s="159"/>
    </row>
    <row r="978" spans="4:27" s="66" customFormat="1">
      <c r="D978" s="75"/>
      <c r="F978" s="158"/>
      <c r="G978" s="64"/>
      <c r="H978" s="30"/>
      <c r="I978" s="136"/>
      <c r="J978" s="136"/>
      <c r="K978" s="136"/>
      <c r="L978" s="136"/>
      <c r="M978" s="159"/>
      <c r="N978" s="84"/>
      <c r="O978" s="84"/>
      <c r="P978" s="84"/>
      <c r="Q978" s="84"/>
      <c r="R978" s="84"/>
      <c r="S978" s="159"/>
      <c r="T978" s="159"/>
      <c r="U978" s="159"/>
      <c r="V978" s="159"/>
      <c r="W978" s="159"/>
      <c r="X978" s="159"/>
      <c r="AA978" s="159"/>
    </row>
    <row r="979" spans="4:27" s="66" customFormat="1">
      <c r="D979" s="75"/>
      <c r="F979" s="158"/>
      <c r="G979" s="64"/>
      <c r="H979" s="30"/>
      <c r="I979" s="136"/>
      <c r="J979" s="136"/>
      <c r="K979" s="136"/>
      <c r="L979" s="136"/>
      <c r="M979" s="159"/>
      <c r="N979" s="84"/>
      <c r="O979" s="84"/>
      <c r="P979" s="84"/>
      <c r="Q979" s="84"/>
      <c r="R979" s="84"/>
      <c r="S979" s="159"/>
      <c r="T979" s="159"/>
      <c r="U979" s="159"/>
      <c r="V979" s="159"/>
      <c r="W979" s="159"/>
      <c r="X979" s="159"/>
      <c r="AA979" s="159"/>
    </row>
    <row r="980" spans="4:27" s="66" customFormat="1">
      <c r="D980" s="75"/>
      <c r="F980" s="158"/>
      <c r="G980" s="64"/>
      <c r="H980" s="30"/>
      <c r="I980" s="136"/>
      <c r="J980" s="136"/>
      <c r="K980" s="136"/>
      <c r="L980" s="136"/>
      <c r="M980" s="159"/>
      <c r="N980" s="84"/>
      <c r="O980" s="84"/>
      <c r="P980" s="84"/>
      <c r="Q980" s="84"/>
      <c r="R980" s="84"/>
      <c r="S980" s="159"/>
      <c r="T980" s="159"/>
      <c r="U980" s="159"/>
      <c r="V980" s="159"/>
      <c r="W980" s="159"/>
      <c r="X980" s="159"/>
      <c r="AA980" s="159"/>
    </row>
    <row r="981" spans="4:27" s="66" customFormat="1">
      <c r="D981" s="75"/>
      <c r="F981" s="158"/>
      <c r="G981" s="64"/>
      <c r="H981" s="30"/>
      <c r="I981" s="136"/>
      <c r="J981" s="136"/>
      <c r="K981" s="136"/>
      <c r="L981" s="136"/>
      <c r="M981" s="159"/>
      <c r="N981" s="84"/>
      <c r="O981" s="84"/>
      <c r="P981" s="84"/>
      <c r="Q981" s="84"/>
      <c r="R981" s="84"/>
      <c r="S981" s="159"/>
      <c r="T981" s="159"/>
      <c r="U981" s="159"/>
      <c r="V981" s="159"/>
      <c r="W981" s="159"/>
      <c r="X981" s="159"/>
      <c r="AA981" s="159"/>
    </row>
    <row r="982" spans="4:27" s="66" customFormat="1">
      <c r="D982" s="75"/>
      <c r="F982" s="158"/>
      <c r="G982" s="64"/>
      <c r="H982" s="30"/>
      <c r="I982" s="136"/>
      <c r="J982" s="136"/>
      <c r="K982" s="136"/>
      <c r="L982" s="136"/>
      <c r="M982" s="159"/>
      <c r="N982" s="84"/>
      <c r="O982" s="84"/>
      <c r="P982" s="84"/>
      <c r="Q982" s="84"/>
      <c r="R982" s="84"/>
      <c r="S982" s="159"/>
      <c r="T982" s="159"/>
      <c r="U982" s="159"/>
      <c r="V982" s="159"/>
      <c r="W982" s="159"/>
      <c r="X982" s="159"/>
      <c r="AA982" s="159"/>
    </row>
    <row r="983" spans="4:27" s="66" customFormat="1">
      <c r="D983" s="75"/>
      <c r="F983" s="158"/>
      <c r="G983" s="64"/>
      <c r="H983" s="30"/>
      <c r="I983" s="136"/>
      <c r="J983" s="136"/>
      <c r="K983" s="136"/>
      <c r="L983" s="136"/>
      <c r="M983" s="159"/>
      <c r="N983" s="84"/>
      <c r="O983" s="84"/>
      <c r="P983" s="84"/>
      <c r="Q983" s="84"/>
      <c r="R983" s="84"/>
      <c r="S983" s="159"/>
      <c r="T983" s="159"/>
      <c r="U983" s="159"/>
      <c r="V983" s="159"/>
      <c r="W983" s="159"/>
      <c r="X983" s="159"/>
      <c r="AA983" s="159"/>
    </row>
    <row r="984" spans="4:27" s="66" customFormat="1">
      <c r="D984" s="75"/>
      <c r="F984" s="158"/>
      <c r="G984" s="64"/>
      <c r="H984" s="30"/>
      <c r="I984" s="136"/>
      <c r="J984" s="136"/>
      <c r="K984" s="136"/>
      <c r="L984" s="136"/>
      <c r="M984" s="159"/>
      <c r="N984" s="84"/>
      <c r="O984" s="84"/>
      <c r="P984" s="84"/>
      <c r="Q984" s="84"/>
      <c r="R984" s="84"/>
      <c r="S984" s="159"/>
      <c r="T984" s="159"/>
      <c r="U984" s="159"/>
      <c r="V984" s="159"/>
      <c r="W984" s="159"/>
      <c r="X984" s="159"/>
      <c r="AA984" s="159"/>
    </row>
    <row r="985" spans="4:27" s="66" customFormat="1">
      <c r="D985" s="75"/>
      <c r="F985" s="158"/>
      <c r="G985" s="64"/>
      <c r="H985" s="30"/>
      <c r="I985" s="136"/>
      <c r="J985" s="136"/>
      <c r="K985" s="136"/>
      <c r="L985" s="136"/>
      <c r="M985" s="159"/>
      <c r="N985" s="84"/>
      <c r="O985" s="84"/>
      <c r="P985" s="84"/>
      <c r="Q985" s="84"/>
      <c r="R985" s="84"/>
      <c r="S985" s="159"/>
      <c r="T985" s="159"/>
      <c r="U985" s="159"/>
      <c r="V985" s="159"/>
      <c r="W985" s="159"/>
      <c r="X985" s="159"/>
      <c r="AA985" s="159"/>
    </row>
    <row r="986" spans="4:27" s="66" customFormat="1">
      <c r="D986" s="75"/>
      <c r="F986" s="158"/>
      <c r="G986" s="64"/>
      <c r="H986" s="30"/>
      <c r="I986" s="136"/>
      <c r="J986" s="136"/>
      <c r="K986" s="136"/>
      <c r="L986" s="136"/>
      <c r="M986" s="159"/>
      <c r="N986" s="84"/>
      <c r="O986" s="84"/>
      <c r="P986" s="84"/>
      <c r="Q986" s="84"/>
      <c r="R986" s="84"/>
      <c r="S986" s="159"/>
      <c r="T986" s="159"/>
      <c r="U986" s="159"/>
      <c r="V986" s="159"/>
      <c r="W986" s="159"/>
      <c r="X986" s="159"/>
      <c r="AA986" s="159"/>
    </row>
    <row r="987" spans="4:27" s="66" customFormat="1">
      <c r="D987" s="75"/>
      <c r="F987" s="158"/>
      <c r="G987" s="64"/>
      <c r="H987" s="30"/>
      <c r="I987" s="136"/>
      <c r="J987" s="136"/>
      <c r="K987" s="136"/>
      <c r="L987" s="136"/>
      <c r="M987" s="159"/>
      <c r="N987" s="84"/>
      <c r="O987" s="84"/>
      <c r="P987" s="84"/>
      <c r="Q987" s="84"/>
      <c r="R987" s="84"/>
      <c r="S987" s="159"/>
      <c r="T987" s="159"/>
      <c r="U987" s="159"/>
      <c r="V987" s="159"/>
      <c r="W987" s="159"/>
      <c r="X987" s="159"/>
      <c r="AA987" s="159"/>
    </row>
    <row r="988" spans="4:27" s="66" customFormat="1">
      <c r="D988" s="75"/>
      <c r="F988" s="158"/>
      <c r="G988" s="64"/>
      <c r="H988" s="30"/>
      <c r="I988" s="136"/>
      <c r="J988" s="136"/>
      <c r="K988" s="136"/>
      <c r="L988" s="136"/>
      <c r="M988" s="159"/>
      <c r="N988" s="84"/>
      <c r="O988" s="84"/>
      <c r="P988" s="84"/>
      <c r="Q988" s="84"/>
      <c r="R988" s="84"/>
      <c r="S988" s="159"/>
      <c r="T988" s="159"/>
      <c r="U988" s="159"/>
      <c r="V988" s="159"/>
      <c r="W988" s="159"/>
      <c r="X988" s="159"/>
      <c r="AA988" s="159"/>
    </row>
    <row r="989" spans="4:27" s="66" customFormat="1">
      <c r="D989" s="75"/>
      <c r="F989" s="158"/>
      <c r="G989" s="64"/>
      <c r="H989" s="30"/>
      <c r="I989" s="136"/>
      <c r="J989" s="136"/>
      <c r="K989" s="136"/>
      <c r="L989" s="136"/>
      <c r="M989" s="159"/>
      <c r="N989" s="84"/>
      <c r="O989" s="84"/>
      <c r="P989" s="84"/>
      <c r="Q989" s="84"/>
      <c r="R989" s="84"/>
      <c r="S989" s="159"/>
      <c r="T989" s="159"/>
      <c r="U989" s="159"/>
      <c r="V989" s="159"/>
      <c r="W989" s="159"/>
      <c r="X989" s="159"/>
      <c r="AA989" s="159"/>
    </row>
    <row r="990" spans="4:27" s="66" customFormat="1">
      <c r="D990" s="75"/>
      <c r="F990" s="158"/>
      <c r="G990" s="64"/>
      <c r="H990" s="30"/>
      <c r="I990" s="136"/>
      <c r="J990" s="136"/>
      <c r="K990" s="136"/>
      <c r="L990" s="136"/>
      <c r="M990" s="159"/>
      <c r="N990" s="84"/>
      <c r="O990" s="84"/>
      <c r="P990" s="84"/>
      <c r="Q990" s="84"/>
      <c r="R990" s="84"/>
      <c r="S990" s="159"/>
      <c r="T990" s="159"/>
      <c r="U990" s="159"/>
      <c r="V990" s="159"/>
      <c r="W990" s="159"/>
      <c r="X990" s="159"/>
      <c r="AA990" s="159"/>
    </row>
    <row r="991" spans="4:27" s="66" customFormat="1">
      <c r="D991" s="75"/>
      <c r="F991" s="158"/>
      <c r="G991" s="64"/>
      <c r="H991" s="30"/>
      <c r="I991" s="136"/>
      <c r="J991" s="136"/>
      <c r="K991" s="136"/>
      <c r="L991" s="136"/>
      <c r="M991" s="159"/>
      <c r="N991" s="84"/>
      <c r="O991" s="84"/>
      <c r="P991" s="84"/>
      <c r="Q991" s="84"/>
      <c r="R991" s="84"/>
      <c r="S991" s="159"/>
      <c r="T991" s="159"/>
      <c r="U991" s="159"/>
      <c r="V991" s="159"/>
      <c r="W991" s="159"/>
      <c r="X991" s="159"/>
      <c r="AA991" s="159"/>
    </row>
    <row r="992" spans="4:27" s="66" customFormat="1">
      <c r="D992" s="75"/>
      <c r="F992" s="158"/>
      <c r="G992" s="64"/>
      <c r="H992" s="30"/>
      <c r="I992" s="136"/>
      <c r="J992" s="136"/>
      <c r="K992" s="136"/>
      <c r="L992" s="136"/>
      <c r="M992" s="159"/>
      <c r="N992" s="84"/>
      <c r="O992" s="84"/>
      <c r="P992" s="84"/>
      <c r="Q992" s="84"/>
      <c r="R992" s="84"/>
      <c r="S992" s="159"/>
      <c r="T992" s="159"/>
      <c r="U992" s="159"/>
      <c r="V992" s="159"/>
      <c r="W992" s="159"/>
      <c r="X992" s="159"/>
      <c r="AA992" s="159"/>
    </row>
    <row r="993" spans="4:27" s="66" customFormat="1">
      <c r="D993" s="75"/>
      <c r="F993" s="158"/>
      <c r="G993" s="64"/>
      <c r="H993" s="30"/>
      <c r="I993" s="136"/>
      <c r="J993" s="136"/>
      <c r="K993" s="136"/>
      <c r="L993" s="136"/>
      <c r="M993" s="159"/>
      <c r="N993" s="84"/>
      <c r="O993" s="84"/>
      <c r="P993" s="84"/>
      <c r="Q993" s="84"/>
      <c r="R993" s="84"/>
      <c r="S993" s="159"/>
      <c r="T993" s="159"/>
      <c r="U993" s="159"/>
      <c r="V993" s="159"/>
      <c r="W993" s="159"/>
      <c r="X993" s="159"/>
      <c r="AA993" s="159"/>
    </row>
    <row r="994" spans="4:27" s="66" customFormat="1">
      <c r="D994" s="75"/>
      <c r="F994" s="158"/>
      <c r="G994" s="64"/>
      <c r="H994" s="30"/>
      <c r="I994" s="136"/>
      <c r="J994" s="136"/>
      <c r="K994" s="136"/>
      <c r="L994" s="136"/>
      <c r="M994" s="159"/>
      <c r="N994" s="84"/>
      <c r="O994" s="84"/>
      <c r="P994" s="84"/>
      <c r="Q994" s="84"/>
      <c r="R994" s="84"/>
      <c r="S994" s="159"/>
      <c r="T994" s="159"/>
      <c r="U994" s="159"/>
      <c r="V994" s="159"/>
      <c r="W994" s="159"/>
      <c r="X994" s="159"/>
      <c r="AA994" s="159"/>
    </row>
    <row r="995" spans="4:27" s="66" customFormat="1">
      <c r="D995" s="75"/>
      <c r="F995" s="158"/>
      <c r="G995" s="64"/>
      <c r="H995" s="30"/>
      <c r="I995" s="136"/>
      <c r="J995" s="136"/>
      <c r="K995" s="136"/>
      <c r="L995" s="136"/>
      <c r="M995" s="159"/>
      <c r="N995" s="84"/>
      <c r="O995" s="84"/>
      <c r="P995" s="84"/>
      <c r="Q995" s="84"/>
      <c r="R995" s="84"/>
      <c r="S995" s="159"/>
      <c r="T995" s="159"/>
      <c r="U995" s="159"/>
      <c r="V995" s="159"/>
      <c r="W995" s="159"/>
      <c r="X995" s="159"/>
      <c r="AA995" s="159"/>
    </row>
    <row r="996" spans="4:27" s="66" customFormat="1">
      <c r="D996" s="75"/>
      <c r="F996" s="158"/>
      <c r="G996" s="64"/>
      <c r="H996" s="30"/>
      <c r="I996" s="136"/>
      <c r="J996" s="136"/>
      <c r="K996" s="136"/>
      <c r="L996" s="136"/>
      <c r="M996" s="159"/>
      <c r="N996" s="84"/>
      <c r="O996" s="84"/>
      <c r="P996" s="84"/>
      <c r="Q996" s="84"/>
      <c r="R996" s="84"/>
      <c r="S996" s="159"/>
      <c r="T996" s="159"/>
      <c r="U996" s="159"/>
      <c r="V996" s="159"/>
      <c r="W996" s="159"/>
      <c r="X996" s="159"/>
      <c r="AA996" s="159"/>
    </row>
    <row r="997" spans="4:27" s="66" customFormat="1">
      <c r="D997" s="75"/>
      <c r="F997" s="158"/>
      <c r="G997" s="64"/>
      <c r="H997" s="30"/>
      <c r="I997" s="136"/>
      <c r="J997" s="136"/>
      <c r="K997" s="136"/>
      <c r="L997" s="136"/>
      <c r="M997" s="159"/>
      <c r="N997" s="84"/>
      <c r="O997" s="84"/>
      <c r="P997" s="84"/>
      <c r="Q997" s="84"/>
      <c r="R997" s="84"/>
      <c r="S997" s="159"/>
      <c r="T997" s="159"/>
      <c r="U997" s="159"/>
      <c r="V997" s="159"/>
      <c r="W997" s="159"/>
      <c r="X997" s="159"/>
      <c r="AA997" s="159"/>
    </row>
    <row r="998" spans="4:27" s="66" customFormat="1">
      <c r="D998" s="75"/>
      <c r="F998" s="158"/>
      <c r="G998" s="64"/>
      <c r="H998" s="30"/>
      <c r="I998" s="136"/>
      <c r="J998" s="136"/>
      <c r="K998" s="136"/>
      <c r="L998" s="136"/>
      <c r="M998" s="159"/>
      <c r="N998" s="84"/>
      <c r="O998" s="84"/>
      <c r="P998" s="84"/>
      <c r="Q998" s="84"/>
      <c r="R998" s="84"/>
      <c r="S998" s="159"/>
      <c r="T998" s="159"/>
      <c r="U998" s="159"/>
      <c r="V998" s="159"/>
      <c r="W998" s="159"/>
      <c r="X998" s="159"/>
      <c r="AA998" s="159"/>
    </row>
    <row r="999" spans="4:27" s="66" customFormat="1">
      <c r="D999" s="75"/>
      <c r="F999" s="158"/>
      <c r="G999" s="64"/>
      <c r="H999" s="30"/>
      <c r="I999" s="136"/>
      <c r="J999" s="136"/>
      <c r="K999" s="136"/>
      <c r="L999" s="136"/>
      <c r="M999" s="159"/>
      <c r="N999" s="84"/>
      <c r="O999" s="84"/>
      <c r="P999" s="84"/>
      <c r="Q999" s="84"/>
      <c r="R999" s="84"/>
      <c r="S999" s="159"/>
      <c r="T999" s="159"/>
      <c r="U999" s="159"/>
      <c r="V999" s="159"/>
      <c r="W999" s="159"/>
      <c r="X999" s="159"/>
      <c r="AA999" s="159"/>
    </row>
    <row r="1000" spans="4:27" s="66" customFormat="1">
      <c r="D1000" s="75"/>
      <c r="F1000" s="158"/>
      <c r="G1000" s="64"/>
      <c r="H1000" s="30"/>
      <c r="I1000" s="136"/>
      <c r="J1000" s="136"/>
      <c r="K1000" s="136"/>
      <c r="L1000" s="136"/>
      <c r="M1000" s="159"/>
      <c r="N1000" s="84"/>
      <c r="O1000" s="84"/>
      <c r="P1000" s="84"/>
      <c r="Q1000" s="84"/>
      <c r="R1000" s="84"/>
      <c r="S1000" s="159"/>
      <c r="T1000" s="159"/>
      <c r="U1000" s="159"/>
      <c r="V1000" s="159"/>
      <c r="W1000" s="159"/>
      <c r="X1000" s="159"/>
      <c r="AA1000" s="159"/>
    </row>
    <row r="1001" spans="4:27" s="66" customFormat="1">
      <c r="D1001" s="75"/>
      <c r="F1001" s="158"/>
      <c r="G1001" s="64"/>
      <c r="H1001" s="30"/>
      <c r="I1001" s="136"/>
      <c r="J1001" s="136"/>
      <c r="K1001" s="136"/>
      <c r="L1001" s="136"/>
      <c r="M1001" s="159"/>
      <c r="N1001" s="84"/>
      <c r="O1001" s="84"/>
      <c r="P1001" s="84"/>
      <c r="Q1001" s="84"/>
      <c r="R1001" s="84"/>
      <c r="S1001" s="159"/>
      <c r="T1001" s="159"/>
      <c r="U1001" s="159"/>
      <c r="V1001" s="159"/>
      <c r="W1001" s="159"/>
      <c r="X1001" s="159"/>
      <c r="AA1001" s="159"/>
    </row>
    <row r="1002" spans="4:27" s="66" customFormat="1">
      <c r="D1002" s="75"/>
      <c r="F1002" s="158"/>
      <c r="G1002" s="64"/>
      <c r="H1002" s="30"/>
      <c r="I1002" s="136"/>
      <c r="J1002" s="136"/>
      <c r="K1002" s="136"/>
      <c r="L1002" s="136"/>
      <c r="M1002" s="159"/>
      <c r="N1002" s="84"/>
      <c r="O1002" s="84"/>
      <c r="P1002" s="84"/>
      <c r="Q1002" s="84"/>
      <c r="R1002" s="84"/>
      <c r="S1002" s="159"/>
      <c r="T1002" s="159"/>
      <c r="U1002" s="159"/>
      <c r="V1002" s="159"/>
      <c r="W1002" s="159"/>
      <c r="X1002" s="159"/>
      <c r="AA1002" s="159"/>
    </row>
    <row r="1003" spans="4:27" s="66" customFormat="1">
      <c r="D1003" s="75"/>
      <c r="F1003" s="158"/>
      <c r="G1003" s="64"/>
      <c r="H1003" s="30"/>
      <c r="I1003" s="136"/>
      <c r="J1003" s="136"/>
      <c r="K1003" s="136"/>
      <c r="L1003" s="136"/>
      <c r="M1003" s="159"/>
      <c r="N1003" s="84"/>
      <c r="O1003" s="84"/>
      <c r="P1003" s="84"/>
      <c r="Q1003" s="84"/>
      <c r="R1003" s="84"/>
      <c r="S1003" s="159"/>
      <c r="T1003" s="159"/>
      <c r="U1003" s="159"/>
      <c r="V1003" s="159"/>
      <c r="W1003" s="159"/>
      <c r="X1003" s="159"/>
      <c r="AA1003" s="159"/>
    </row>
    <row r="1004" spans="4:27" s="66" customFormat="1">
      <c r="D1004" s="75"/>
      <c r="F1004" s="158"/>
      <c r="G1004" s="64"/>
      <c r="H1004" s="30"/>
      <c r="I1004" s="136"/>
      <c r="J1004" s="136"/>
      <c r="K1004" s="136"/>
      <c r="L1004" s="136"/>
      <c r="M1004" s="159"/>
      <c r="N1004" s="84"/>
      <c r="O1004" s="84"/>
      <c r="P1004" s="84"/>
      <c r="Q1004" s="84"/>
      <c r="R1004" s="84"/>
      <c r="S1004" s="159"/>
      <c r="T1004" s="159"/>
      <c r="U1004" s="159"/>
      <c r="V1004" s="159"/>
      <c r="W1004" s="159"/>
      <c r="X1004" s="159"/>
      <c r="AA1004" s="159"/>
    </row>
    <row r="1005" spans="4:27" s="66" customFormat="1">
      <c r="D1005" s="75"/>
      <c r="F1005" s="158"/>
      <c r="G1005" s="64"/>
      <c r="H1005" s="30"/>
      <c r="I1005" s="136"/>
      <c r="J1005" s="136"/>
      <c r="K1005" s="136"/>
      <c r="L1005" s="136"/>
      <c r="M1005" s="159"/>
      <c r="N1005" s="84"/>
      <c r="O1005" s="84"/>
      <c r="P1005" s="84"/>
      <c r="Q1005" s="84"/>
      <c r="R1005" s="84"/>
      <c r="S1005" s="159"/>
      <c r="T1005" s="159"/>
      <c r="U1005" s="159"/>
      <c r="V1005" s="159"/>
      <c r="W1005" s="159"/>
      <c r="X1005" s="159"/>
      <c r="AA1005" s="159"/>
    </row>
    <row r="1006" spans="4:27" s="66" customFormat="1">
      <c r="D1006" s="75"/>
      <c r="F1006" s="158"/>
      <c r="G1006" s="64"/>
      <c r="H1006" s="30"/>
      <c r="I1006" s="136"/>
      <c r="J1006" s="136"/>
      <c r="K1006" s="136"/>
      <c r="L1006" s="136"/>
      <c r="M1006" s="159"/>
      <c r="N1006" s="84"/>
      <c r="O1006" s="84"/>
      <c r="P1006" s="84"/>
      <c r="Q1006" s="84"/>
      <c r="R1006" s="84"/>
      <c r="S1006" s="159"/>
      <c r="T1006" s="159"/>
      <c r="U1006" s="159"/>
      <c r="V1006" s="159"/>
      <c r="W1006" s="159"/>
      <c r="X1006" s="159"/>
      <c r="AA1006" s="159"/>
    </row>
    <row r="1007" spans="4:27" s="66" customFormat="1">
      <c r="D1007" s="75"/>
      <c r="F1007" s="158"/>
      <c r="G1007" s="64"/>
      <c r="H1007" s="30"/>
      <c r="I1007" s="136"/>
      <c r="J1007" s="136"/>
      <c r="K1007" s="136"/>
      <c r="L1007" s="136"/>
      <c r="M1007" s="159"/>
      <c r="N1007" s="84"/>
      <c r="O1007" s="84"/>
      <c r="P1007" s="84"/>
      <c r="Q1007" s="84"/>
      <c r="R1007" s="84"/>
      <c r="S1007" s="159"/>
      <c r="T1007" s="159"/>
      <c r="U1007" s="159"/>
      <c r="V1007" s="159"/>
      <c r="W1007" s="159"/>
      <c r="X1007" s="159"/>
      <c r="AA1007" s="159"/>
    </row>
    <row r="1008" spans="4:27" s="66" customFormat="1">
      <c r="D1008" s="75"/>
      <c r="F1008" s="158"/>
      <c r="G1008" s="64"/>
      <c r="H1008" s="30"/>
      <c r="I1008" s="136"/>
      <c r="J1008" s="136"/>
      <c r="K1008" s="136"/>
      <c r="L1008" s="136"/>
      <c r="M1008" s="159"/>
      <c r="N1008" s="84"/>
      <c r="O1008" s="84"/>
      <c r="P1008" s="84"/>
      <c r="Q1008" s="84"/>
      <c r="R1008" s="84"/>
      <c r="S1008" s="159"/>
      <c r="T1008" s="159"/>
      <c r="U1008" s="159"/>
      <c r="V1008" s="159"/>
      <c r="W1008" s="159"/>
      <c r="X1008" s="159"/>
      <c r="AA1008" s="159"/>
    </row>
    <row r="1009" spans="4:27" s="66" customFormat="1">
      <c r="D1009" s="75"/>
      <c r="F1009" s="158"/>
      <c r="G1009" s="64"/>
      <c r="H1009" s="30"/>
      <c r="I1009" s="136"/>
      <c r="J1009" s="136"/>
      <c r="K1009" s="136"/>
      <c r="L1009" s="136"/>
      <c r="M1009" s="159"/>
      <c r="N1009" s="84"/>
      <c r="O1009" s="84"/>
      <c r="P1009" s="84"/>
      <c r="Q1009" s="84"/>
      <c r="R1009" s="84"/>
      <c r="S1009" s="159"/>
      <c r="T1009" s="159"/>
      <c r="U1009" s="159"/>
      <c r="V1009" s="159"/>
      <c r="W1009" s="159"/>
      <c r="X1009" s="159"/>
      <c r="AA1009" s="159"/>
    </row>
    <row r="1010" spans="4:27" s="66" customFormat="1">
      <c r="D1010" s="75"/>
      <c r="F1010" s="158"/>
      <c r="G1010" s="64"/>
      <c r="H1010" s="30"/>
      <c r="I1010" s="136"/>
      <c r="J1010" s="136"/>
      <c r="K1010" s="136"/>
      <c r="L1010" s="136"/>
      <c r="M1010" s="159"/>
      <c r="N1010" s="84"/>
      <c r="O1010" s="84"/>
      <c r="P1010" s="84"/>
      <c r="Q1010" s="84"/>
      <c r="R1010" s="84"/>
      <c r="S1010" s="159"/>
      <c r="T1010" s="159"/>
      <c r="U1010" s="159"/>
      <c r="V1010" s="159"/>
      <c r="W1010" s="159"/>
      <c r="X1010" s="159"/>
      <c r="AA1010" s="159"/>
    </row>
    <row r="1011" spans="4:27" s="66" customFormat="1">
      <c r="D1011" s="75"/>
      <c r="F1011" s="158"/>
      <c r="G1011" s="64"/>
      <c r="H1011" s="30"/>
      <c r="I1011" s="136"/>
      <c r="J1011" s="136"/>
      <c r="K1011" s="136"/>
      <c r="L1011" s="136"/>
      <c r="M1011" s="159"/>
      <c r="N1011" s="84"/>
      <c r="O1011" s="84"/>
      <c r="P1011" s="84"/>
      <c r="Q1011" s="84"/>
      <c r="R1011" s="84"/>
      <c r="S1011" s="159"/>
      <c r="T1011" s="159"/>
      <c r="U1011" s="159"/>
      <c r="V1011" s="159"/>
      <c r="W1011" s="159"/>
      <c r="X1011" s="159"/>
      <c r="AA1011" s="159"/>
    </row>
    <row r="1012" spans="4:27" s="66" customFormat="1">
      <c r="D1012" s="75"/>
      <c r="F1012" s="158"/>
      <c r="G1012" s="64"/>
      <c r="H1012" s="30"/>
      <c r="I1012" s="136"/>
      <c r="J1012" s="136"/>
      <c r="K1012" s="136"/>
      <c r="L1012" s="136"/>
      <c r="M1012" s="159"/>
      <c r="N1012" s="84"/>
      <c r="O1012" s="84"/>
      <c r="P1012" s="84"/>
      <c r="Q1012" s="84"/>
      <c r="R1012" s="84"/>
      <c r="S1012" s="159"/>
      <c r="T1012" s="159"/>
      <c r="U1012" s="159"/>
      <c r="V1012" s="159"/>
      <c r="W1012" s="159"/>
      <c r="X1012" s="159"/>
      <c r="AA1012" s="159"/>
    </row>
    <row r="1013" spans="4:27" s="66" customFormat="1">
      <c r="D1013" s="75"/>
      <c r="F1013" s="158"/>
      <c r="G1013" s="64"/>
      <c r="H1013" s="30"/>
      <c r="I1013" s="136"/>
      <c r="J1013" s="136"/>
      <c r="K1013" s="136"/>
      <c r="L1013" s="136"/>
      <c r="M1013" s="159"/>
      <c r="N1013" s="84"/>
      <c r="O1013" s="84"/>
      <c r="P1013" s="84"/>
      <c r="Q1013" s="84"/>
      <c r="R1013" s="84"/>
      <c r="S1013" s="159"/>
      <c r="T1013" s="159"/>
      <c r="U1013" s="159"/>
      <c r="V1013" s="159"/>
      <c r="W1013" s="159"/>
      <c r="X1013" s="159"/>
      <c r="AA1013" s="159"/>
    </row>
    <row r="1014" spans="4:27" s="66" customFormat="1">
      <c r="D1014" s="75"/>
      <c r="F1014" s="158"/>
      <c r="G1014" s="64"/>
      <c r="H1014" s="30"/>
      <c r="I1014" s="136"/>
      <c r="J1014" s="136"/>
      <c r="K1014" s="136"/>
      <c r="L1014" s="136"/>
      <c r="M1014" s="159"/>
      <c r="N1014" s="84"/>
      <c r="O1014" s="84"/>
      <c r="P1014" s="84"/>
      <c r="Q1014" s="84"/>
      <c r="R1014" s="84"/>
      <c r="S1014" s="159"/>
      <c r="T1014" s="159"/>
      <c r="U1014" s="159"/>
      <c r="V1014" s="159"/>
      <c r="W1014" s="159"/>
      <c r="X1014" s="159"/>
      <c r="AA1014" s="159"/>
    </row>
    <row r="1015" spans="4:27" s="66" customFormat="1">
      <c r="D1015" s="75"/>
      <c r="F1015" s="158"/>
      <c r="G1015" s="64"/>
      <c r="H1015" s="30"/>
      <c r="I1015" s="136"/>
      <c r="J1015" s="136"/>
      <c r="K1015" s="136"/>
      <c r="L1015" s="136"/>
      <c r="M1015" s="159"/>
      <c r="N1015" s="84"/>
      <c r="O1015" s="84"/>
      <c r="P1015" s="84"/>
      <c r="Q1015" s="84"/>
      <c r="R1015" s="84"/>
      <c r="S1015" s="159"/>
      <c r="T1015" s="159"/>
      <c r="U1015" s="159"/>
      <c r="V1015" s="159"/>
      <c r="W1015" s="159"/>
      <c r="X1015" s="159"/>
      <c r="AA1015" s="159"/>
    </row>
    <row r="1016" spans="4:27" s="66" customFormat="1">
      <c r="D1016" s="75"/>
      <c r="F1016" s="158"/>
      <c r="G1016" s="64"/>
      <c r="H1016" s="30"/>
      <c r="I1016" s="136"/>
      <c r="J1016" s="136"/>
      <c r="K1016" s="136"/>
      <c r="L1016" s="136"/>
      <c r="M1016" s="159"/>
      <c r="N1016" s="84"/>
      <c r="O1016" s="84"/>
      <c r="P1016" s="84"/>
      <c r="Q1016" s="84"/>
      <c r="R1016" s="84"/>
      <c r="S1016" s="159"/>
      <c r="T1016" s="159"/>
      <c r="U1016" s="159"/>
      <c r="V1016" s="159"/>
      <c r="W1016" s="159"/>
      <c r="X1016" s="159"/>
      <c r="AA1016" s="159"/>
    </row>
    <row r="1017" spans="4:27" s="66" customFormat="1">
      <c r="D1017" s="75"/>
      <c r="F1017" s="158"/>
      <c r="G1017" s="64"/>
      <c r="H1017" s="30"/>
      <c r="I1017" s="136"/>
      <c r="J1017" s="136"/>
      <c r="K1017" s="136"/>
      <c r="L1017" s="136"/>
      <c r="M1017" s="159"/>
      <c r="N1017" s="84"/>
      <c r="O1017" s="84"/>
      <c r="P1017" s="84"/>
      <c r="Q1017" s="84"/>
      <c r="R1017" s="84"/>
      <c r="S1017" s="159"/>
      <c r="T1017" s="159"/>
      <c r="U1017" s="159"/>
      <c r="V1017" s="159"/>
      <c r="W1017" s="159"/>
      <c r="X1017" s="159"/>
      <c r="AA1017" s="159"/>
    </row>
    <row r="1018" spans="4:27" s="66" customFormat="1">
      <c r="D1018" s="75"/>
      <c r="F1018" s="158"/>
      <c r="G1018" s="64"/>
      <c r="H1018" s="30"/>
      <c r="I1018" s="136"/>
      <c r="J1018" s="136"/>
      <c r="K1018" s="136"/>
      <c r="L1018" s="136"/>
      <c r="M1018" s="159"/>
      <c r="N1018" s="84"/>
      <c r="O1018" s="84"/>
      <c r="P1018" s="84"/>
      <c r="Q1018" s="84"/>
      <c r="R1018" s="84"/>
      <c r="S1018" s="159"/>
      <c r="T1018" s="159"/>
      <c r="U1018" s="159"/>
      <c r="V1018" s="159"/>
      <c r="W1018" s="159"/>
      <c r="X1018" s="159"/>
      <c r="AA1018" s="159"/>
    </row>
    <row r="1019" spans="4:27" s="66" customFormat="1">
      <c r="D1019" s="75"/>
      <c r="F1019" s="158"/>
      <c r="G1019" s="64"/>
      <c r="H1019" s="30"/>
      <c r="I1019" s="136"/>
      <c r="J1019" s="136"/>
      <c r="K1019" s="136"/>
      <c r="L1019" s="136"/>
      <c r="M1019" s="159"/>
      <c r="N1019" s="84"/>
      <c r="O1019" s="84"/>
      <c r="P1019" s="84"/>
      <c r="Q1019" s="84"/>
      <c r="R1019" s="84"/>
      <c r="S1019" s="159"/>
      <c r="T1019" s="159"/>
      <c r="U1019" s="159"/>
      <c r="V1019" s="159"/>
      <c r="W1019" s="159"/>
      <c r="X1019" s="159"/>
      <c r="AA1019" s="159"/>
    </row>
    <row r="1020" spans="4:27" s="66" customFormat="1">
      <c r="D1020" s="75"/>
      <c r="F1020" s="158"/>
      <c r="G1020" s="64"/>
      <c r="H1020" s="30"/>
      <c r="I1020" s="136"/>
      <c r="J1020" s="136"/>
      <c r="K1020" s="136"/>
      <c r="L1020" s="136"/>
      <c r="M1020" s="159"/>
      <c r="N1020" s="84"/>
      <c r="O1020" s="84"/>
      <c r="P1020" s="84"/>
      <c r="Q1020" s="84"/>
      <c r="R1020" s="84"/>
      <c r="S1020" s="159"/>
      <c r="T1020" s="159"/>
      <c r="U1020" s="159"/>
      <c r="V1020" s="159"/>
      <c r="W1020" s="159"/>
      <c r="X1020" s="159"/>
      <c r="AA1020" s="159"/>
    </row>
    <row r="1021" spans="4:27" s="66" customFormat="1">
      <c r="D1021" s="75"/>
      <c r="F1021" s="158"/>
      <c r="G1021" s="64"/>
      <c r="H1021" s="30"/>
      <c r="I1021" s="136"/>
      <c r="J1021" s="136"/>
      <c r="K1021" s="136"/>
      <c r="L1021" s="136"/>
      <c r="M1021" s="159"/>
      <c r="N1021" s="84"/>
      <c r="O1021" s="84"/>
      <c r="P1021" s="84"/>
      <c r="Q1021" s="84"/>
      <c r="R1021" s="84"/>
      <c r="S1021" s="159"/>
      <c r="T1021" s="159"/>
      <c r="U1021" s="159"/>
      <c r="V1021" s="159"/>
      <c r="W1021" s="159"/>
      <c r="X1021" s="159"/>
      <c r="AA1021" s="159"/>
    </row>
    <row r="1022" spans="4:27" s="66" customFormat="1">
      <c r="D1022" s="75"/>
      <c r="F1022" s="158"/>
      <c r="G1022" s="64"/>
      <c r="H1022" s="30"/>
      <c r="I1022" s="136"/>
      <c r="J1022" s="136"/>
      <c r="K1022" s="136"/>
      <c r="L1022" s="136"/>
      <c r="M1022" s="159"/>
      <c r="N1022" s="84"/>
      <c r="O1022" s="84"/>
      <c r="P1022" s="84"/>
      <c r="Q1022" s="84"/>
      <c r="R1022" s="84"/>
      <c r="S1022" s="159"/>
      <c r="T1022" s="159"/>
      <c r="U1022" s="159"/>
      <c r="V1022" s="159"/>
      <c r="W1022" s="159"/>
      <c r="X1022" s="159"/>
      <c r="AA1022" s="159"/>
    </row>
    <row r="1023" spans="4:27" s="66" customFormat="1">
      <c r="D1023" s="75"/>
      <c r="F1023" s="158"/>
      <c r="G1023" s="64"/>
      <c r="H1023" s="30"/>
      <c r="I1023" s="136"/>
      <c r="J1023" s="136"/>
      <c r="K1023" s="136"/>
      <c r="L1023" s="136"/>
      <c r="M1023" s="159"/>
      <c r="N1023" s="84"/>
      <c r="O1023" s="84"/>
      <c r="P1023" s="84"/>
      <c r="Q1023" s="84"/>
      <c r="R1023" s="84"/>
      <c r="S1023" s="159"/>
      <c r="T1023" s="159"/>
      <c r="U1023" s="159"/>
      <c r="V1023" s="159"/>
      <c r="W1023" s="159"/>
      <c r="X1023" s="159"/>
      <c r="AA1023" s="159"/>
    </row>
    <row r="1024" spans="4:27" s="66" customFormat="1">
      <c r="D1024" s="75"/>
      <c r="F1024" s="158"/>
      <c r="G1024" s="64"/>
      <c r="H1024" s="30"/>
      <c r="I1024" s="136"/>
      <c r="J1024" s="136"/>
      <c r="K1024" s="136"/>
      <c r="L1024" s="136"/>
      <c r="M1024" s="159"/>
      <c r="N1024" s="84"/>
      <c r="O1024" s="84"/>
      <c r="P1024" s="84"/>
      <c r="Q1024" s="84"/>
      <c r="R1024" s="84"/>
      <c r="S1024" s="159"/>
      <c r="T1024" s="159"/>
      <c r="U1024" s="159"/>
      <c r="V1024" s="159"/>
      <c r="W1024" s="159"/>
      <c r="X1024" s="159"/>
      <c r="AA1024" s="159"/>
    </row>
    <row r="1025" spans="4:27" s="66" customFormat="1">
      <c r="D1025" s="75"/>
      <c r="F1025" s="158"/>
      <c r="G1025" s="64"/>
      <c r="H1025" s="30"/>
      <c r="I1025" s="136"/>
      <c r="J1025" s="136"/>
      <c r="K1025" s="136"/>
      <c r="L1025" s="136"/>
      <c r="M1025" s="159"/>
      <c r="N1025" s="84"/>
      <c r="O1025" s="84"/>
      <c r="P1025" s="84"/>
      <c r="Q1025" s="84"/>
      <c r="R1025" s="84"/>
      <c r="S1025" s="159"/>
      <c r="T1025" s="159"/>
      <c r="U1025" s="159"/>
      <c r="V1025" s="159"/>
      <c r="W1025" s="159"/>
      <c r="X1025" s="159"/>
      <c r="AA1025" s="159"/>
    </row>
    <row r="1026" spans="4:27" s="66" customFormat="1">
      <c r="D1026" s="75"/>
      <c r="F1026" s="158"/>
      <c r="G1026" s="64"/>
      <c r="H1026" s="30"/>
      <c r="I1026" s="136"/>
      <c r="J1026" s="136"/>
      <c r="K1026" s="136"/>
      <c r="L1026" s="136"/>
      <c r="M1026" s="159"/>
      <c r="N1026" s="84"/>
      <c r="O1026" s="84"/>
      <c r="P1026" s="84"/>
      <c r="Q1026" s="84"/>
      <c r="R1026" s="84"/>
      <c r="S1026" s="159"/>
      <c r="T1026" s="159"/>
      <c r="U1026" s="159"/>
      <c r="V1026" s="159"/>
      <c r="W1026" s="159"/>
      <c r="X1026" s="159"/>
      <c r="AA1026" s="159"/>
    </row>
    <row r="1027" spans="4:27" s="66" customFormat="1">
      <c r="D1027" s="75"/>
      <c r="F1027" s="158"/>
      <c r="G1027" s="64"/>
      <c r="H1027" s="30"/>
      <c r="I1027" s="136"/>
      <c r="J1027" s="136"/>
      <c r="K1027" s="136"/>
      <c r="L1027" s="136"/>
      <c r="M1027" s="159"/>
      <c r="N1027" s="84"/>
      <c r="O1027" s="84"/>
      <c r="P1027" s="84"/>
      <c r="Q1027" s="84"/>
      <c r="R1027" s="84"/>
      <c r="S1027" s="159"/>
      <c r="T1027" s="159"/>
      <c r="U1027" s="159"/>
      <c r="V1027" s="159"/>
      <c r="W1027" s="159"/>
      <c r="X1027" s="159"/>
      <c r="AA1027" s="159"/>
    </row>
    <row r="1028" spans="4:27" s="66" customFormat="1">
      <c r="D1028" s="75"/>
      <c r="F1028" s="158"/>
      <c r="G1028" s="64"/>
      <c r="H1028" s="30"/>
      <c r="I1028" s="136"/>
      <c r="J1028" s="136"/>
      <c r="K1028" s="136"/>
      <c r="L1028" s="136"/>
      <c r="M1028" s="159"/>
      <c r="N1028" s="84"/>
      <c r="O1028" s="84"/>
      <c r="P1028" s="84"/>
      <c r="Q1028" s="84"/>
      <c r="R1028" s="84"/>
      <c r="S1028" s="159"/>
      <c r="T1028" s="159"/>
      <c r="U1028" s="159"/>
      <c r="V1028" s="159"/>
      <c r="W1028" s="159"/>
      <c r="X1028" s="159"/>
      <c r="AA1028" s="159"/>
    </row>
    <row r="1029" spans="4:27" s="66" customFormat="1">
      <c r="D1029" s="75"/>
      <c r="F1029" s="158"/>
      <c r="G1029" s="64"/>
      <c r="H1029" s="30"/>
      <c r="I1029" s="136"/>
      <c r="J1029" s="136"/>
      <c r="K1029" s="136"/>
      <c r="L1029" s="136"/>
      <c r="M1029" s="159"/>
      <c r="N1029" s="84"/>
      <c r="O1029" s="84"/>
      <c r="P1029" s="84"/>
      <c r="Q1029" s="84"/>
      <c r="R1029" s="84"/>
      <c r="S1029" s="159"/>
      <c r="T1029" s="159"/>
      <c r="U1029" s="159"/>
      <c r="V1029" s="159"/>
      <c r="W1029" s="159"/>
      <c r="X1029" s="159"/>
      <c r="AA1029" s="159"/>
    </row>
    <row r="1030" spans="4:27" s="66" customFormat="1">
      <c r="D1030" s="75"/>
      <c r="F1030" s="158"/>
      <c r="G1030" s="64"/>
      <c r="H1030" s="30"/>
      <c r="I1030" s="136"/>
      <c r="J1030" s="136"/>
      <c r="K1030" s="136"/>
      <c r="L1030" s="136"/>
      <c r="M1030" s="159"/>
      <c r="N1030" s="84"/>
      <c r="O1030" s="84"/>
      <c r="P1030" s="84"/>
      <c r="Q1030" s="84"/>
      <c r="R1030" s="84"/>
      <c r="S1030" s="159"/>
      <c r="T1030" s="159"/>
      <c r="U1030" s="159"/>
      <c r="V1030" s="159"/>
      <c r="W1030" s="159"/>
      <c r="X1030" s="159"/>
      <c r="AA1030" s="159"/>
    </row>
    <row r="1031" spans="4:27" s="66" customFormat="1">
      <c r="D1031" s="75"/>
      <c r="F1031" s="158"/>
      <c r="G1031" s="64"/>
      <c r="H1031" s="30"/>
      <c r="I1031" s="136"/>
      <c r="J1031" s="136"/>
      <c r="K1031" s="136"/>
      <c r="L1031" s="136"/>
      <c r="M1031" s="159"/>
      <c r="N1031" s="84"/>
      <c r="O1031" s="84"/>
      <c r="P1031" s="84"/>
      <c r="Q1031" s="84"/>
      <c r="R1031" s="84"/>
      <c r="S1031" s="159"/>
      <c r="T1031" s="159"/>
      <c r="U1031" s="159"/>
      <c r="V1031" s="159"/>
      <c r="W1031" s="159"/>
      <c r="X1031" s="159"/>
      <c r="AA1031" s="159"/>
    </row>
    <row r="1032" spans="4:27" s="66" customFormat="1">
      <c r="D1032" s="75"/>
      <c r="F1032" s="158"/>
      <c r="G1032" s="64"/>
      <c r="H1032" s="30"/>
      <c r="I1032" s="136"/>
      <c r="J1032" s="136"/>
      <c r="K1032" s="136"/>
      <c r="L1032" s="136"/>
      <c r="M1032" s="159"/>
      <c r="N1032" s="84"/>
      <c r="O1032" s="84"/>
      <c r="P1032" s="84"/>
      <c r="Q1032" s="84"/>
      <c r="R1032" s="84"/>
      <c r="S1032" s="159"/>
      <c r="T1032" s="159"/>
      <c r="U1032" s="159"/>
      <c r="V1032" s="159"/>
      <c r="W1032" s="159"/>
      <c r="X1032" s="159"/>
      <c r="AA1032" s="159"/>
    </row>
    <row r="1033" spans="4:27" s="66" customFormat="1">
      <c r="D1033" s="75"/>
      <c r="F1033" s="158"/>
      <c r="G1033" s="64"/>
      <c r="H1033" s="30"/>
      <c r="I1033" s="136"/>
      <c r="J1033" s="136"/>
      <c r="K1033" s="136"/>
      <c r="L1033" s="136"/>
      <c r="M1033" s="159"/>
      <c r="N1033" s="84"/>
      <c r="O1033" s="84"/>
      <c r="P1033" s="84"/>
      <c r="Q1033" s="84"/>
      <c r="R1033" s="84"/>
      <c r="S1033" s="159"/>
      <c r="T1033" s="159"/>
      <c r="U1033" s="159"/>
      <c r="V1033" s="159"/>
      <c r="W1033" s="159"/>
      <c r="X1033" s="159"/>
      <c r="AA1033" s="159"/>
    </row>
    <row r="1034" spans="4:27" s="66" customFormat="1">
      <c r="D1034" s="75"/>
      <c r="F1034" s="158"/>
      <c r="G1034" s="64"/>
      <c r="H1034" s="30"/>
      <c r="I1034" s="136"/>
      <c r="J1034" s="136"/>
      <c r="K1034" s="136"/>
      <c r="L1034" s="136"/>
      <c r="M1034" s="159"/>
      <c r="N1034" s="84"/>
      <c r="O1034" s="84"/>
      <c r="P1034" s="84"/>
      <c r="Q1034" s="84"/>
      <c r="R1034" s="84"/>
      <c r="S1034" s="159"/>
      <c r="T1034" s="159"/>
      <c r="U1034" s="159"/>
      <c r="V1034" s="159"/>
      <c r="W1034" s="159"/>
      <c r="X1034" s="159"/>
      <c r="AA1034" s="159"/>
    </row>
    <row r="1035" spans="4:27" s="66" customFormat="1">
      <c r="D1035" s="75"/>
      <c r="F1035" s="158"/>
      <c r="G1035" s="64"/>
      <c r="H1035" s="30"/>
      <c r="I1035" s="136"/>
      <c r="J1035" s="136"/>
      <c r="K1035" s="136"/>
      <c r="L1035" s="136"/>
      <c r="M1035" s="159"/>
      <c r="N1035" s="84"/>
      <c r="O1035" s="84"/>
      <c r="P1035" s="84"/>
      <c r="Q1035" s="84"/>
      <c r="R1035" s="84"/>
      <c r="S1035" s="159"/>
      <c r="T1035" s="159"/>
      <c r="U1035" s="159"/>
      <c r="V1035" s="159"/>
      <c r="W1035" s="159"/>
      <c r="X1035" s="159"/>
      <c r="AA1035" s="159"/>
    </row>
    <row r="1036" spans="4:27" s="66" customFormat="1">
      <c r="D1036" s="75"/>
      <c r="F1036" s="158"/>
      <c r="G1036" s="64"/>
      <c r="H1036" s="30"/>
      <c r="I1036" s="136"/>
      <c r="J1036" s="136"/>
      <c r="K1036" s="136"/>
      <c r="L1036" s="136"/>
      <c r="M1036" s="159"/>
      <c r="N1036" s="84"/>
      <c r="O1036" s="84"/>
      <c r="P1036" s="84"/>
      <c r="Q1036" s="84"/>
      <c r="R1036" s="84"/>
      <c r="S1036" s="159"/>
      <c r="T1036" s="159"/>
      <c r="U1036" s="159"/>
      <c r="V1036" s="159"/>
      <c r="W1036" s="159"/>
      <c r="X1036" s="159"/>
      <c r="AA1036" s="159"/>
    </row>
    <row r="1037" spans="4:27" s="66" customFormat="1">
      <c r="D1037" s="75"/>
      <c r="F1037" s="158"/>
      <c r="G1037" s="64"/>
      <c r="H1037" s="30"/>
      <c r="I1037" s="136"/>
      <c r="J1037" s="136"/>
      <c r="K1037" s="136"/>
      <c r="L1037" s="136"/>
      <c r="M1037" s="159"/>
      <c r="N1037" s="84"/>
      <c r="O1037" s="84"/>
      <c r="P1037" s="84"/>
      <c r="Q1037" s="84"/>
      <c r="R1037" s="84"/>
      <c r="S1037" s="159"/>
      <c r="T1037" s="159"/>
      <c r="U1037" s="159"/>
      <c r="V1037" s="159"/>
      <c r="W1037" s="159"/>
      <c r="X1037" s="159"/>
      <c r="AA1037" s="159"/>
    </row>
    <row r="1038" spans="4:27" s="66" customFormat="1">
      <c r="D1038" s="75"/>
      <c r="F1038" s="158"/>
      <c r="G1038" s="64"/>
      <c r="H1038" s="30"/>
      <c r="I1038" s="136"/>
      <c r="J1038" s="136"/>
      <c r="K1038" s="136"/>
      <c r="L1038" s="136"/>
      <c r="M1038" s="159"/>
      <c r="N1038" s="84"/>
      <c r="O1038" s="84"/>
      <c r="P1038" s="84"/>
      <c r="Q1038" s="84"/>
      <c r="R1038" s="84"/>
      <c r="S1038" s="159"/>
      <c r="T1038" s="159"/>
      <c r="U1038" s="159"/>
      <c r="V1038" s="159"/>
      <c r="W1038" s="159"/>
      <c r="X1038" s="159"/>
      <c r="AA1038" s="159"/>
    </row>
    <row r="1039" spans="4:27" s="66" customFormat="1">
      <c r="D1039" s="75"/>
      <c r="F1039" s="158"/>
      <c r="G1039" s="64"/>
      <c r="H1039" s="30"/>
      <c r="I1039" s="136"/>
      <c r="J1039" s="136"/>
      <c r="K1039" s="136"/>
      <c r="L1039" s="136"/>
      <c r="M1039" s="159"/>
      <c r="N1039" s="84"/>
      <c r="O1039" s="84"/>
      <c r="P1039" s="84"/>
      <c r="Q1039" s="84"/>
      <c r="R1039" s="84"/>
      <c r="S1039" s="159"/>
      <c r="T1039" s="159"/>
      <c r="U1039" s="159"/>
      <c r="V1039" s="159"/>
      <c r="W1039" s="159"/>
      <c r="X1039" s="159"/>
      <c r="AA1039" s="159"/>
    </row>
    <row r="1040" spans="4:27" s="66" customFormat="1">
      <c r="D1040" s="75"/>
      <c r="F1040" s="158"/>
      <c r="G1040" s="64"/>
      <c r="H1040" s="30"/>
      <c r="I1040" s="136"/>
      <c r="J1040" s="136"/>
      <c r="K1040" s="136"/>
      <c r="L1040" s="136"/>
      <c r="M1040" s="159"/>
      <c r="N1040" s="84"/>
      <c r="O1040" s="84"/>
      <c r="P1040" s="84"/>
      <c r="Q1040" s="84"/>
      <c r="R1040" s="84"/>
      <c r="S1040" s="159"/>
      <c r="T1040" s="159"/>
      <c r="U1040" s="159"/>
      <c r="V1040" s="159"/>
      <c r="W1040" s="159"/>
      <c r="X1040" s="159"/>
      <c r="AA1040" s="159"/>
    </row>
    <row r="1041" spans="4:27" s="66" customFormat="1">
      <c r="D1041" s="75"/>
      <c r="F1041" s="158"/>
      <c r="G1041" s="64"/>
      <c r="H1041" s="30"/>
      <c r="I1041" s="136"/>
      <c r="J1041" s="136"/>
      <c r="K1041" s="136"/>
      <c r="L1041" s="136"/>
      <c r="M1041" s="159"/>
      <c r="N1041" s="84"/>
      <c r="O1041" s="84"/>
      <c r="P1041" s="84"/>
      <c r="Q1041" s="84"/>
      <c r="R1041" s="84"/>
      <c r="S1041" s="159"/>
      <c r="T1041" s="159"/>
      <c r="U1041" s="159"/>
      <c r="V1041" s="159"/>
      <c r="W1041" s="159"/>
      <c r="X1041" s="159"/>
      <c r="AA1041" s="159"/>
    </row>
    <row r="1042" spans="4:27" s="66" customFormat="1">
      <c r="D1042" s="75"/>
      <c r="F1042" s="158"/>
      <c r="G1042" s="64"/>
      <c r="H1042" s="30"/>
      <c r="I1042" s="136"/>
      <c r="J1042" s="136"/>
      <c r="K1042" s="136"/>
      <c r="L1042" s="136"/>
      <c r="M1042" s="159"/>
      <c r="N1042" s="84"/>
      <c r="O1042" s="84"/>
      <c r="P1042" s="84"/>
      <c r="Q1042" s="84"/>
      <c r="R1042" s="84"/>
      <c r="S1042" s="159"/>
      <c r="T1042" s="159"/>
      <c r="U1042" s="159"/>
      <c r="V1042" s="159"/>
      <c r="W1042" s="159"/>
      <c r="X1042" s="159"/>
      <c r="AA1042" s="159"/>
    </row>
    <row r="1043" spans="4:27" s="66" customFormat="1">
      <c r="D1043" s="75"/>
      <c r="F1043" s="158"/>
      <c r="G1043" s="64"/>
      <c r="H1043" s="30"/>
      <c r="I1043" s="136"/>
      <c r="J1043" s="136"/>
      <c r="K1043" s="136"/>
      <c r="L1043" s="136"/>
      <c r="M1043" s="159"/>
      <c r="N1043" s="84"/>
      <c r="O1043" s="84"/>
      <c r="P1043" s="84"/>
      <c r="Q1043" s="84"/>
      <c r="R1043" s="84"/>
      <c r="S1043" s="159"/>
      <c r="T1043" s="159"/>
      <c r="U1043" s="159"/>
      <c r="V1043" s="159"/>
      <c r="W1043" s="159"/>
      <c r="X1043" s="159"/>
      <c r="AA1043" s="159"/>
    </row>
    <row r="1044" spans="4:27" s="66" customFormat="1">
      <c r="D1044" s="75"/>
      <c r="F1044" s="158"/>
      <c r="G1044" s="64"/>
      <c r="H1044" s="30"/>
      <c r="I1044" s="136"/>
      <c r="J1044" s="136"/>
      <c r="K1044" s="136"/>
      <c r="L1044" s="136"/>
      <c r="M1044" s="159"/>
      <c r="N1044" s="84"/>
      <c r="O1044" s="84"/>
      <c r="P1044" s="84"/>
      <c r="Q1044" s="84"/>
      <c r="R1044" s="84"/>
      <c r="S1044" s="159"/>
      <c r="T1044" s="159"/>
      <c r="U1044" s="159"/>
      <c r="V1044" s="159"/>
      <c r="W1044" s="159"/>
      <c r="X1044" s="159"/>
      <c r="AA1044" s="159"/>
    </row>
    <row r="1045" spans="4:27" s="66" customFormat="1">
      <c r="D1045" s="75"/>
      <c r="F1045" s="158"/>
      <c r="G1045" s="64"/>
      <c r="H1045" s="30"/>
      <c r="I1045" s="136"/>
      <c r="J1045" s="136"/>
      <c r="K1045" s="136"/>
      <c r="L1045" s="136"/>
      <c r="M1045" s="159"/>
      <c r="N1045" s="84"/>
      <c r="O1045" s="84"/>
      <c r="P1045" s="84"/>
      <c r="Q1045" s="84"/>
      <c r="R1045" s="84"/>
      <c r="S1045" s="159"/>
      <c r="T1045" s="159"/>
      <c r="U1045" s="159"/>
      <c r="V1045" s="159"/>
      <c r="W1045" s="159"/>
      <c r="X1045" s="159"/>
      <c r="AA1045" s="159"/>
    </row>
    <row r="1046" spans="4:27" s="66" customFormat="1">
      <c r="D1046" s="75"/>
      <c r="F1046" s="158"/>
      <c r="G1046" s="64"/>
      <c r="H1046" s="30"/>
      <c r="I1046" s="136"/>
      <c r="J1046" s="136"/>
      <c r="K1046" s="136"/>
      <c r="L1046" s="136"/>
      <c r="M1046" s="159"/>
      <c r="N1046" s="84"/>
      <c r="O1046" s="84"/>
      <c r="P1046" s="84"/>
      <c r="Q1046" s="84"/>
      <c r="R1046" s="84"/>
      <c r="S1046" s="159"/>
      <c r="T1046" s="159"/>
      <c r="U1046" s="159"/>
      <c r="V1046" s="159"/>
      <c r="W1046" s="159"/>
      <c r="X1046" s="159"/>
      <c r="AA1046" s="159"/>
    </row>
    <row r="1047" spans="4:27" s="66" customFormat="1">
      <c r="D1047" s="75"/>
      <c r="F1047" s="158"/>
      <c r="G1047" s="64"/>
      <c r="H1047" s="30"/>
      <c r="I1047" s="136"/>
      <c r="J1047" s="136"/>
      <c r="K1047" s="136"/>
      <c r="L1047" s="136"/>
      <c r="M1047" s="159"/>
      <c r="N1047" s="84"/>
      <c r="O1047" s="84"/>
      <c r="P1047" s="84"/>
      <c r="Q1047" s="84"/>
      <c r="R1047" s="84"/>
      <c r="S1047" s="159"/>
      <c r="T1047" s="159"/>
      <c r="U1047" s="159"/>
      <c r="V1047" s="159"/>
      <c r="W1047" s="159"/>
      <c r="X1047" s="159"/>
      <c r="AA1047" s="159"/>
    </row>
    <row r="1048" spans="4:27" s="66" customFormat="1">
      <c r="D1048" s="75"/>
      <c r="F1048" s="158"/>
      <c r="G1048" s="64"/>
      <c r="H1048" s="30"/>
      <c r="I1048" s="136"/>
      <c r="J1048" s="136"/>
      <c r="K1048" s="136"/>
      <c r="L1048" s="136"/>
      <c r="M1048" s="159"/>
      <c r="N1048" s="84"/>
      <c r="O1048" s="84"/>
      <c r="P1048" s="84"/>
      <c r="Q1048" s="84"/>
      <c r="R1048" s="84"/>
      <c r="S1048" s="159"/>
      <c r="T1048" s="159"/>
      <c r="U1048" s="159"/>
      <c r="V1048" s="159"/>
      <c r="W1048" s="159"/>
      <c r="X1048" s="159"/>
      <c r="AA1048" s="159"/>
    </row>
    <row r="1049" spans="4:27" s="66" customFormat="1">
      <c r="D1049" s="75"/>
      <c r="F1049" s="158"/>
      <c r="G1049" s="64"/>
      <c r="H1049" s="30"/>
      <c r="I1049" s="136"/>
      <c r="J1049" s="136"/>
      <c r="K1049" s="136"/>
      <c r="L1049" s="136"/>
      <c r="M1049" s="159"/>
      <c r="N1049" s="84"/>
      <c r="O1049" s="84"/>
      <c r="P1049" s="84"/>
      <c r="Q1049" s="84"/>
      <c r="R1049" s="84"/>
      <c r="S1049" s="159"/>
      <c r="T1049" s="159"/>
      <c r="U1049" s="159"/>
      <c r="V1049" s="159"/>
      <c r="W1049" s="159"/>
      <c r="X1049" s="159"/>
      <c r="AA1049" s="159"/>
    </row>
    <row r="1050" spans="4:27" s="66" customFormat="1">
      <c r="D1050" s="75"/>
      <c r="F1050" s="158"/>
      <c r="G1050" s="64"/>
      <c r="H1050" s="30"/>
      <c r="I1050" s="136"/>
      <c r="J1050" s="136"/>
      <c r="K1050" s="136"/>
      <c r="L1050" s="136"/>
      <c r="M1050" s="159"/>
      <c r="N1050" s="84"/>
      <c r="O1050" s="84"/>
      <c r="P1050" s="84"/>
      <c r="Q1050" s="84"/>
      <c r="R1050" s="84"/>
      <c r="S1050" s="159"/>
      <c r="T1050" s="159"/>
      <c r="U1050" s="159"/>
      <c r="V1050" s="159"/>
      <c r="W1050" s="159"/>
      <c r="X1050" s="159"/>
      <c r="AA1050" s="159"/>
    </row>
    <row r="1051" spans="4:27" s="66" customFormat="1">
      <c r="D1051" s="75"/>
      <c r="F1051" s="158"/>
      <c r="G1051" s="64"/>
      <c r="H1051" s="30"/>
      <c r="I1051" s="136"/>
      <c r="J1051" s="136"/>
      <c r="K1051" s="136"/>
      <c r="L1051" s="136"/>
      <c r="M1051" s="159"/>
      <c r="N1051" s="84"/>
      <c r="O1051" s="84"/>
      <c r="P1051" s="84"/>
      <c r="Q1051" s="84"/>
      <c r="R1051" s="84"/>
      <c r="S1051" s="159"/>
      <c r="T1051" s="159"/>
      <c r="U1051" s="159"/>
      <c r="V1051" s="159"/>
      <c r="W1051" s="159"/>
      <c r="X1051" s="159"/>
      <c r="AA1051" s="159"/>
    </row>
    <row r="1052" spans="4:27" s="66" customFormat="1">
      <c r="D1052" s="75"/>
      <c r="F1052" s="158"/>
      <c r="G1052" s="64"/>
      <c r="H1052" s="30"/>
      <c r="I1052" s="136"/>
      <c r="J1052" s="136"/>
      <c r="K1052" s="136"/>
      <c r="L1052" s="136"/>
      <c r="M1052" s="159"/>
      <c r="N1052" s="84"/>
      <c r="O1052" s="84"/>
      <c r="P1052" s="84"/>
      <c r="Q1052" s="84"/>
      <c r="R1052" s="84"/>
      <c r="S1052" s="159"/>
      <c r="T1052" s="159"/>
      <c r="U1052" s="159"/>
      <c r="V1052" s="159"/>
      <c r="W1052" s="159"/>
      <c r="X1052" s="159"/>
      <c r="AA1052" s="159"/>
    </row>
    <row r="1053" spans="4:27" s="66" customFormat="1">
      <c r="D1053" s="75"/>
      <c r="F1053" s="158"/>
      <c r="G1053" s="64"/>
      <c r="H1053" s="30"/>
      <c r="I1053" s="136"/>
      <c r="J1053" s="136"/>
      <c r="K1053" s="136"/>
      <c r="L1053" s="136"/>
      <c r="M1053" s="159"/>
      <c r="N1053" s="84"/>
      <c r="O1053" s="84"/>
      <c r="P1053" s="84"/>
      <c r="Q1053" s="84"/>
      <c r="R1053" s="84"/>
      <c r="S1053" s="159"/>
      <c r="T1053" s="159"/>
      <c r="U1053" s="159"/>
      <c r="V1053" s="159"/>
      <c r="W1053" s="159"/>
      <c r="X1053" s="159"/>
      <c r="AA1053" s="159"/>
    </row>
    <row r="1054" spans="4:27" s="66" customFormat="1">
      <c r="D1054" s="75"/>
      <c r="F1054" s="158"/>
      <c r="G1054" s="64"/>
      <c r="H1054" s="30"/>
      <c r="I1054" s="136"/>
      <c r="J1054" s="136"/>
      <c r="K1054" s="136"/>
      <c r="L1054" s="136"/>
      <c r="M1054" s="159"/>
      <c r="N1054" s="84"/>
      <c r="O1054" s="84"/>
      <c r="P1054" s="84"/>
      <c r="Q1054" s="84"/>
      <c r="R1054" s="84"/>
      <c r="S1054" s="159"/>
      <c r="T1054" s="159"/>
      <c r="U1054" s="159"/>
      <c r="V1054" s="159"/>
      <c r="W1054" s="159"/>
      <c r="X1054" s="159"/>
      <c r="AA1054" s="159"/>
    </row>
    <row r="1055" spans="4:27" s="66" customFormat="1">
      <c r="D1055" s="75"/>
      <c r="F1055" s="158"/>
      <c r="G1055" s="64"/>
      <c r="H1055" s="30"/>
      <c r="I1055" s="136"/>
      <c r="J1055" s="136"/>
      <c r="K1055" s="136"/>
      <c r="L1055" s="136"/>
      <c r="M1055" s="159"/>
      <c r="N1055" s="84"/>
      <c r="O1055" s="84"/>
      <c r="P1055" s="84"/>
      <c r="Q1055" s="84"/>
      <c r="R1055" s="84"/>
      <c r="S1055" s="159"/>
      <c r="T1055" s="159"/>
      <c r="U1055" s="159"/>
      <c r="V1055" s="159"/>
      <c r="W1055" s="159"/>
      <c r="X1055" s="159"/>
      <c r="AA1055" s="159"/>
    </row>
    <row r="1056" spans="4:27" s="66" customFormat="1">
      <c r="D1056" s="75"/>
      <c r="F1056" s="158"/>
      <c r="G1056" s="64"/>
      <c r="H1056" s="30"/>
      <c r="I1056" s="136"/>
      <c r="J1056" s="136"/>
      <c r="K1056" s="136"/>
      <c r="L1056" s="136"/>
      <c r="M1056" s="159"/>
      <c r="N1056" s="84"/>
      <c r="O1056" s="84"/>
      <c r="P1056" s="84"/>
      <c r="Q1056" s="84"/>
      <c r="R1056" s="84"/>
      <c r="S1056" s="159"/>
      <c r="T1056" s="159"/>
      <c r="U1056" s="159"/>
      <c r="V1056" s="159"/>
      <c r="W1056" s="159"/>
      <c r="X1056" s="159"/>
      <c r="AA1056" s="159"/>
    </row>
    <row r="1057" spans="4:27" s="66" customFormat="1">
      <c r="D1057" s="75"/>
      <c r="F1057" s="158"/>
      <c r="G1057" s="64"/>
      <c r="H1057" s="30"/>
      <c r="I1057" s="136"/>
      <c r="J1057" s="136"/>
      <c r="K1057" s="136"/>
      <c r="L1057" s="136"/>
      <c r="M1057" s="159"/>
      <c r="N1057" s="84"/>
      <c r="O1057" s="84"/>
      <c r="P1057" s="84"/>
      <c r="Q1057" s="84"/>
      <c r="R1057" s="84"/>
      <c r="S1057" s="159"/>
      <c r="T1057" s="159"/>
      <c r="U1057" s="159"/>
      <c r="V1057" s="159"/>
      <c r="W1057" s="159"/>
      <c r="X1057" s="159"/>
      <c r="AA1057" s="159"/>
    </row>
    <row r="1058" spans="4:27" s="66" customFormat="1">
      <c r="D1058" s="75"/>
      <c r="F1058" s="158"/>
      <c r="G1058" s="64"/>
      <c r="H1058" s="30"/>
      <c r="I1058" s="136"/>
      <c r="J1058" s="136"/>
      <c r="K1058" s="136"/>
      <c r="L1058" s="136"/>
      <c r="M1058" s="159"/>
      <c r="N1058" s="84"/>
      <c r="O1058" s="84"/>
      <c r="P1058" s="84"/>
      <c r="Q1058" s="84"/>
      <c r="R1058" s="84"/>
      <c r="S1058" s="159"/>
      <c r="T1058" s="159"/>
      <c r="U1058" s="159"/>
      <c r="V1058" s="159"/>
      <c r="W1058" s="159"/>
      <c r="X1058" s="159"/>
      <c r="AA1058" s="159"/>
    </row>
    <row r="1059" spans="4:27" s="66" customFormat="1">
      <c r="D1059" s="75"/>
      <c r="F1059" s="158"/>
      <c r="G1059" s="64"/>
      <c r="H1059" s="30"/>
      <c r="I1059" s="136"/>
      <c r="J1059" s="136"/>
      <c r="K1059" s="136"/>
      <c r="L1059" s="136"/>
      <c r="M1059" s="159"/>
      <c r="N1059" s="84"/>
      <c r="O1059" s="84"/>
      <c r="P1059" s="84"/>
      <c r="Q1059" s="84"/>
      <c r="R1059" s="84"/>
      <c r="S1059" s="159"/>
      <c r="T1059" s="159"/>
      <c r="U1059" s="159"/>
      <c r="V1059" s="159"/>
      <c r="W1059" s="159"/>
      <c r="X1059" s="159"/>
      <c r="AA1059" s="159"/>
    </row>
    <row r="1060" spans="4:27" s="66" customFormat="1">
      <c r="D1060" s="75"/>
      <c r="F1060" s="158"/>
      <c r="G1060" s="64"/>
      <c r="H1060" s="30"/>
      <c r="I1060" s="136"/>
      <c r="J1060" s="136"/>
      <c r="K1060" s="136"/>
      <c r="L1060" s="136"/>
      <c r="M1060" s="159"/>
      <c r="N1060" s="84"/>
      <c r="O1060" s="84"/>
      <c r="P1060" s="84"/>
      <c r="Q1060" s="84"/>
      <c r="R1060" s="84"/>
      <c r="S1060" s="159"/>
      <c r="T1060" s="159"/>
      <c r="U1060" s="159"/>
      <c r="V1060" s="159"/>
      <c r="W1060" s="159"/>
      <c r="X1060" s="159"/>
      <c r="AA1060" s="159"/>
    </row>
    <row r="1061" spans="4:27" s="66" customFormat="1">
      <c r="D1061" s="75"/>
      <c r="F1061" s="158"/>
      <c r="G1061" s="64"/>
      <c r="H1061" s="30"/>
      <c r="I1061" s="136"/>
      <c r="J1061" s="136"/>
      <c r="K1061" s="136"/>
      <c r="L1061" s="136"/>
      <c r="M1061" s="159"/>
      <c r="N1061" s="84"/>
      <c r="O1061" s="84"/>
      <c r="P1061" s="84"/>
      <c r="Q1061" s="84"/>
      <c r="R1061" s="84"/>
      <c r="S1061" s="159"/>
      <c r="T1061" s="159"/>
      <c r="U1061" s="159"/>
      <c r="V1061" s="159"/>
      <c r="W1061" s="159"/>
      <c r="X1061" s="159"/>
      <c r="AA1061" s="159"/>
    </row>
    <row r="1062" spans="4:27" s="66" customFormat="1">
      <c r="D1062" s="75"/>
      <c r="F1062" s="158"/>
      <c r="G1062" s="64"/>
      <c r="H1062" s="30"/>
      <c r="I1062" s="136"/>
      <c r="J1062" s="136"/>
      <c r="K1062" s="136"/>
      <c r="L1062" s="136"/>
      <c r="M1062" s="159"/>
      <c r="N1062" s="84"/>
      <c r="O1062" s="84"/>
      <c r="P1062" s="84"/>
      <c r="Q1062" s="84"/>
      <c r="R1062" s="84"/>
      <c r="S1062" s="159"/>
      <c r="T1062" s="159"/>
      <c r="U1062" s="159"/>
      <c r="V1062" s="159"/>
      <c r="W1062" s="159"/>
      <c r="X1062" s="159"/>
      <c r="AA1062" s="159"/>
    </row>
    <row r="1063" spans="4:27" s="66" customFormat="1">
      <c r="D1063" s="75"/>
      <c r="F1063" s="158"/>
      <c r="G1063" s="64"/>
      <c r="H1063" s="30"/>
      <c r="I1063" s="136"/>
      <c r="J1063" s="136"/>
      <c r="K1063" s="136"/>
      <c r="L1063" s="136"/>
      <c r="M1063" s="159"/>
      <c r="N1063" s="84"/>
      <c r="O1063" s="84"/>
      <c r="P1063" s="84"/>
      <c r="Q1063" s="84"/>
      <c r="R1063" s="84"/>
      <c r="S1063" s="159"/>
      <c r="T1063" s="159"/>
      <c r="U1063" s="159"/>
      <c r="V1063" s="159"/>
      <c r="W1063" s="159"/>
      <c r="X1063" s="159"/>
      <c r="AA1063" s="159"/>
    </row>
    <row r="1064" spans="4:27" s="66" customFormat="1">
      <c r="D1064" s="75"/>
      <c r="F1064" s="158"/>
      <c r="G1064" s="64"/>
      <c r="H1064" s="30"/>
      <c r="I1064" s="136"/>
      <c r="J1064" s="136"/>
      <c r="K1064" s="136"/>
      <c r="L1064" s="136"/>
      <c r="M1064" s="159"/>
      <c r="N1064" s="84"/>
      <c r="O1064" s="84"/>
      <c r="P1064" s="84"/>
      <c r="Q1064" s="84"/>
      <c r="R1064" s="84"/>
      <c r="S1064" s="159"/>
      <c r="T1064" s="159"/>
      <c r="U1064" s="159"/>
      <c r="V1064" s="159"/>
      <c r="W1064" s="159"/>
      <c r="X1064" s="159"/>
      <c r="AA1064" s="159"/>
    </row>
    <row r="1065" spans="4:27" s="66" customFormat="1">
      <c r="D1065" s="75"/>
      <c r="F1065" s="158"/>
      <c r="G1065" s="64"/>
      <c r="H1065" s="30"/>
      <c r="I1065" s="136"/>
      <c r="J1065" s="136"/>
      <c r="K1065" s="136"/>
      <c r="L1065" s="136"/>
      <c r="M1065" s="159"/>
      <c r="N1065" s="84"/>
      <c r="O1065" s="84"/>
      <c r="P1065" s="84"/>
      <c r="Q1065" s="84"/>
      <c r="R1065" s="84"/>
      <c r="S1065" s="159"/>
      <c r="T1065" s="159"/>
      <c r="U1065" s="159"/>
      <c r="V1065" s="159"/>
      <c r="W1065" s="159"/>
      <c r="X1065" s="159"/>
      <c r="AA1065" s="159"/>
    </row>
    <row r="1066" spans="4:27" s="66" customFormat="1">
      <c r="D1066" s="75"/>
      <c r="F1066" s="158"/>
      <c r="G1066" s="64"/>
      <c r="H1066" s="30"/>
      <c r="I1066" s="136"/>
      <c r="J1066" s="136"/>
      <c r="K1066" s="136"/>
      <c r="L1066" s="136"/>
      <c r="M1066" s="159"/>
      <c r="N1066" s="84"/>
      <c r="O1066" s="84"/>
      <c r="P1066" s="84"/>
      <c r="Q1066" s="84"/>
      <c r="R1066" s="84"/>
      <c r="S1066" s="159"/>
      <c r="T1066" s="159"/>
      <c r="U1066" s="159"/>
      <c r="V1066" s="159"/>
      <c r="W1066" s="159"/>
      <c r="X1066" s="159"/>
      <c r="AA1066" s="159"/>
    </row>
    <row r="1067" spans="4:27" s="66" customFormat="1">
      <c r="D1067" s="75"/>
      <c r="F1067" s="158"/>
      <c r="G1067" s="64"/>
      <c r="H1067" s="30"/>
      <c r="I1067" s="136"/>
      <c r="J1067" s="136"/>
      <c r="K1067" s="136"/>
      <c r="L1067" s="136"/>
      <c r="M1067" s="159"/>
      <c r="N1067" s="84"/>
      <c r="O1067" s="84"/>
      <c r="P1067" s="84"/>
      <c r="Q1067" s="84"/>
      <c r="R1067" s="84"/>
      <c r="S1067" s="159"/>
      <c r="T1067" s="159"/>
      <c r="U1067" s="159"/>
      <c r="V1067" s="159"/>
      <c r="W1067" s="159"/>
      <c r="X1067" s="159"/>
      <c r="AA1067" s="159"/>
    </row>
    <row r="1068" spans="4:27" s="66" customFormat="1">
      <c r="D1068" s="75"/>
      <c r="F1068" s="158"/>
      <c r="G1068" s="64"/>
      <c r="H1068" s="30"/>
      <c r="I1068" s="136"/>
      <c r="J1068" s="136"/>
      <c r="K1068" s="136"/>
      <c r="L1068" s="136"/>
      <c r="M1068" s="159"/>
      <c r="N1068" s="84"/>
      <c r="O1068" s="84"/>
      <c r="P1068" s="84"/>
      <c r="Q1068" s="84"/>
      <c r="R1068" s="84"/>
      <c r="S1068" s="159"/>
      <c r="T1068" s="159"/>
      <c r="U1068" s="159"/>
      <c r="V1068" s="159"/>
      <c r="W1068" s="159"/>
      <c r="X1068" s="159"/>
      <c r="AA1068" s="159"/>
    </row>
    <row r="1069" spans="4:27" s="66" customFormat="1">
      <c r="D1069" s="75"/>
      <c r="F1069" s="158"/>
      <c r="G1069" s="64"/>
      <c r="H1069" s="30"/>
      <c r="I1069" s="136"/>
      <c r="J1069" s="136"/>
      <c r="K1069" s="136"/>
      <c r="L1069" s="136"/>
      <c r="M1069" s="159"/>
      <c r="N1069" s="84"/>
      <c r="O1069" s="84"/>
      <c r="P1069" s="84"/>
      <c r="Q1069" s="84"/>
      <c r="R1069" s="84"/>
      <c r="S1069" s="159"/>
      <c r="T1069" s="159"/>
      <c r="U1069" s="159"/>
      <c r="V1069" s="159"/>
      <c r="W1069" s="159"/>
      <c r="X1069" s="159"/>
      <c r="AA1069" s="159"/>
    </row>
    <row r="1070" spans="4:27" s="66" customFormat="1">
      <c r="D1070" s="75"/>
      <c r="F1070" s="158"/>
      <c r="G1070" s="64"/>
      <c r="H1070" s="30"/>
      <c r="I1070" s="136"/>
      <c r="J1070" s="136"/>
      <c r="K1070" s="136"/>
      <c r="L1070" s="136"/>
      <c r="M1070" s="159"/>
      <c r="N1070" s="84"/>
      <c r="O1070" s="84"/>
      <c r="P1070" s="84"/>
      <c r="Q1070" s="84"/>
      <c r="R1070" s="84"/>
      <c r="S1070" s="159"/>
      <c r="T1070" s="159"/>
      <c r="U1070" s="159"/>
      <c r="V1070" s="159"/>
      <c r="W1070" s="159"/>
      <c r="X1070" s="159"/>
      <c r="AA1070" s="159"/>
    </row>
    <row r="1071" spans="4:27" s="66" customFormat="1">
      <c r="D1071" s="75"/>
      <c r="F1071" s="158"/>
      <c r="G1071" s="64"/>
      <c r="H1071" s="30"/>
      <c r="I1071" s="136"/>
      <c r="J1071" s="136"/>
      <c r="K1071" s="136"/>
      <c r="L1071" s="136"/>
      <c r="M1071" s="159"/>
      <c r="N1071" s="84"/>
      <c r="O1071" s="84"/>
      <c r="P1071" s="84"/>
      <c r="Q1071" s="84"/>
      <c r="R1071" s="84"/>
      <c r="S1071" s="159"/>
      <c r="T1071" s="159"/>
      <c r="U1071" s="159"/>
      <c r="V1071" s="159"/>
      <c r="W1071" s="159"/>
      <c r="X1071" s="159"/>
      <c r="AA1071" s="159"/>
    </row>
    <row r="1072" spans="4:27" s="66" customFormat="1">
      <c r="D1072" s="75"/>
      <c r="F1072" s="158"/>
      <c r="G1072" s="64"/>
      <c r="H1072" s="30"/>
      <c r="I1072" s="136"/>
      <c r="J1072" s="136"/>
      <c r="K1072" s="136"/>
      <c r="L1072" s="136"/>
      <c r="M1072" s="159"/>
      <c r="N1072" s="84"/>
      <c r="O1072" s="84"/>
      <c r="P1072" s="84"/>
      <c r="Q1072" s="84"/>
      <c r="R1072" s="84"/>
      <c r="S1072" s="159"/>
      <c r="T1072" s="159"/>
      <c r="U1072" s="159"/>
      <c r="V1072" s="159"/>
      <c r="W1072" s="159"/>
      <c r="X1072" s="159"/>
      <c r="AA1072" s="159"/>
    </row>
    <row r="1073" spans="4:27" s="66" customFormat="1">
      <c r="D1073" s="75"/>
      <c r="F1073" s="158"/>
      <c r="G1073" s="64"/>
      <c r="H1073" s="30"/>
      <c r="I1073" s="136"/>
      <c r="J1073" s="136"/>
      <c r="K1073" s="136"/>
      <c r="L1073" s="136"/>
      <c r="M1073" s="159"/>
      <c r="N1073" s="84"/>
      <c r="O1073" s="84"/>
      <c r="P1073" s="84"/>
      <c r="Q1073" s="84"/>
      <c r="R1073" s="84"/>
      <c r="S1073" s="159"/>
      <c r="T1073" s="159"/>
      <c r="U1073" s="159"/>
      <c r="V1073" s="159"/>
      <c r="W1073" s="159"/>
      <c r="X1073" s="159"/>
      <c r="AA1073" s="159"/>
    </row>
    <row r="1074" spans="4:27" s="66" customFormat="1">
      <c r="D1074" s="75"/>
      <c r="F1074" s="158"/>
      <c r="G1074" s="64"/>
      <c r="H1074" s="30"/>
      <c r="I1074" s="136"/>
      <c r="J1074" s="136"/>
      <c r="K1074" s="136"/>
      <c r="L1074" s="136"/>
      <c r="M1074" s="159"/>
      <c r="N1074" s="84"/>
      <c r="O1074" s="84"/>
      <c r="P1074" s="84"/>
      <c r="Q1074" s="84"/>
      <c r="R1074" s="84"/>
      <c r="S1074" s="159"/>
      <c r="T1074" s="159"/>
      <c r="U1074" s="159"/>
      <c r="V1074" s="159"/>
      <c r="W1074" s="159"/>
      <c r="X1074" s="159"/>
      <c r="AA1074" s="159"/>
    </row>
    <row r="1075" spans="4:27" s="66" customFormat="1">
      <c r="D1075" s="75"/>
      <c r="F1075" s="158"/>
      <c r="G1075" s="64"/>
      <c r="H1075" s="30"/>
      <c r="I1075" s="136"/>
      <c r="J1075" s="136"/>
      <c r="K1075" s="136"/>
      <c r="L1075" s="136"/>
      <c r="M1075" s="159"/>
      <c r="N1075" s="84"/>
      <c r="O1075" s="84"/>
      <c r="P1075" s="84"/>
      <c r="Q1075" s="84"/>
      <c r="R1075" s="84"/>
      <c r="S1075" s="159"/>
      <c r="T1075" s="159"/>
      <c r="U1075" s="159"/>
      <c r="V1075" s="159"/>
      <c r="W1075" s="159"/>
      <c r="X1075" s="159"/>
      <c r="AA1075" s="159"/>
    </row>
    <row r="1076" spans="4:27" s="66" customFormat="1">
      <c r="D1076" s="75"/>
      <c r="F1076" s="158"/>
      <c r="G1076" s="64"/>
      <c r="H1076" s="30"/>
      <c r="I1076" s="136"/>
      <c r="J1076" s="136"/>
      <c r="K1076" s="136"/>
      <c r="L1076" s="136"/>
      <c r="M1076" s="159"/>
      <c r="N1076" s="84"/>
      <c r="O1076" s="84"/>
      <c r="P1076" s="84"/>
      <c r="Q1076" s="84"/>
      <c r="R1076" s="84"/>
      <c r="S1076" s="159"/>
      <c r="T1076" s="159"/>
      <c r="U1076" s="159"/>
      <c r="V1076" s="159"/>
      <c r="W1076" s="159"/>
      <c r="X1076" s="159"/>
      <c r="AA1076" s="159"/>
    </row>
    <row r="1077" spans="4:27" s="66" customFormat="1">
      <c r="D1077" s="75"/>
      <c r="F1077" s="158"/>
      <c r="G1077" s="64"/>
      <c r="H1077" s="30"/>
      <c r="I1077" s="136"/>
      <c r="J1077" s="136"/>
      <c r="K1077" s="136"/>
      <c r="L1077" s="136"/>
      <c r="M1077" s="159"/>
      <c r="N1077" s="84"/>
      <c r="O1077" s="84"/>
      <c r="P1077" s="84"/>
      <c r="Q1077" s="84"/>
      <c r="R1077" s="84"/>
      <c r="S1077" s="159"/>
      <c r="T1077" s="159"/>
      <c r="U1077" s="159"/>
      <c r="V1077" s="159"/>
      <c r="W1077" s="159"/>
      <c r="X1077" s="159"/>
      <c r="AA1077" s="159"/>
    </row>
    <row r="1078" spans="4:27" s="66" customFormat="1">
      <c r="D1078" s="75"/>
      <c r="F1078" s="158"/>
      <c r="G1078" s="64"/>
      <c r="H1078" s="30"/>
      <c r="I1078" s="136"/>
      <c r="J1078" s="136"/>
      <c r="K1078" s="136"/>
      <c r="L1078" s="136"/>
      <c r="M1078" s="159"/>
      <c r="N1078" s="84"/>
      <c r="O1078" s="84"/>
      <c r="P1078" s="84"/>
      <c r="Q1078" s="84"/>
      <c r="R1078" s="84"/>
      <c r="S1078" s="159"/>
      <c r="T1078" s="159"/>
      <c r="U1078" s="159"/>
      <c r="V1078" s="159"/>
      <c r="W1078" s="159"/>
      <c r="X1078" s="159"/>
      <c r="AA1078" s="159"/>
    </row>
    <row r="1079" spans="4:27" s="66" customFormat="1">
      <c r="D1079" s="75"/>
      <c r="F1079" s="158"/>
      <c r="G1079" s="64"/>
      <c r="H1079" s="30"/>
      <c r="I1079" s="136"/>
      <c r="J1079" s="136"/>
      <c r="K1079" s="136"/>
      <c r="L1079" s="136"/>
      <c r="M1079" s="159"/>
      <c r="N1079" s="84"/>
      <c r="O1079" s="84"/>
      <c r="P1079" s="84"/>
      <c r="Q1079" s="84"/>
      <c r="R1079" s="84"/>
      <c r="S1079" s="159"/>
      <c r="T1079" s="159"/>
      <c r="U1079" s="159"/>
      <c r="V1079" s="159"/>
      <c r="W1079" s="159"/>
      <c r="X1079" s="159"/>
      <c r="AA1079" s="159"/>
    </row>
    <row r="1080" spans="4:27" s="66" customFormat="1">
      <c r="D1080" s="75"/>
      <c r="F1080" s="158"/>
      <c r="G1080" s="64"/>
      <c r="H1080" s="30"/>
      <c r="I1080" s="136"/>
      <c r="J1080" s="136"/>
      <c r="K1080" s="136"/>
      <c r="L1080" s="136"/>
      <c r="M1080" s="159"/>
      <c r="N1080" s="84"/>
      <c r="O1080" s="84"/>
      <c r="P1080" s="84"/>
      <c r="Q1080" s="84"/>
      <c r="R1080" s="84"/>
      <c r="S1080" s="159"/>
      <c r="T1080" s="159"/>
      <c r="U1080" s="159"/>
      <c r="V1080" s="159"/>
      <c r="W1080" s="159"/>
      <c r="X1080" s="159"/>
      <c r="AA1080" s="159"/>
    </row>
    <row r="1081" spans="4:27" s="66" customFormat="1">
      <c r="D1081" s="75"/>
      <c r="F1081" s="158"/>
      <c r="G1081" s="64"/>
      <c r="H1081" s="30"/>
      <c r="I1081" s="136"/>
      <c r="J1081" s="136"/>
      <c r="K1081" s="136"/>
      <c r="L1081" s="136"/>
      <c r="M1081" s="159"/>
      <c r="N1081" s="84"/>
      <c r="O1081" s="84"/>
      <c r="P1081" s="84"/>
      <c r="Q1081" s="84"/>
      <c r="R1081" s="84"/>
      <c r="S1081" s="159"/>
      <c r="T1081" s="159"/>
      <c r="U1081" s="159"/>
      <c r="V1081" s="159"/>
      <c r="W1081" s="159"/>
      <c r="X1081" s="159"/>
      <c r="AA1081" s="159"/>
    </row>
    <row r="1082" spans="4:27" s="66" customFormat="1">
      <c r="D1082" s="75"/>
      <c r="F1082" s="158"/>
      <c r="G1082" s="64"/>
      <c r="H1082" s="30"/>
      <c r="I1082" s="136"/>
      <c r="J1082" s="136"/>
      <c r="K1082" s="136"/>
      <c r="L1082" s="136"/>
      <c r="M1082" s="159"/>
      <c r="N1082" s="84"/>
      <c r="O1082" s="84"/>
      <c r="P1082" s="84"/>
      <c r="Q1082" s="84"/>
      <c r="R1082" s="84"/>
      <c r="S1082" s="159"/>
      <c r="T1082" s="159"/>
      <c r="U1082" s="159"/>
      <c r="V1082" s="159"/>
      <c r="W1082" s="159"/>
      <c r="X1082" s="159"/>
      <c r="AA1082" s="159"/>
    </row>
    <row r="1083" spans="4:27" s="66" customFormat="1">
      <c r="D1083" s="75"/>
      <c r="F1083" s="158"/>
      <c r="G1083" s="64"/>
      <c r="H1083" s="30"/>
      <c r="I1083" s="136"/>
      <c r="J1083" s="136"/>
      <c r="K1083" s="136"/>
      <c r="L1083" s="136"/>
      <c r="M1083" s="159"/>
      <c r="N1083" s="84"/>
      <c r="O1083" s="84"/>
      <c r="P1083" s="84"/>
      <c r="Q1083" s="84"/>
      <c r="R1083" s="84"/>
      <c r="S1083" s="159"/>
      <c r="T1083" s="159"/>
      <c r="U1083" s="159"/>
      <c r="V1083" s="159"/>
      <c r="W1083" s="159"/>
      <c r="X1083" s="159"/>
      <c r="AA1083" s="159"/>
    </row>
    <row r="1084" spans="4:27" s="66" customFormat="1">
      <c r="D1084" s="75"/>
      <c r="F1084" s="158"/>
      <c r="G1084" s="64"/>
      <c r="H1084" s="30"/>
      <c r="I1084" s="136"/>
      <c r="J1084" s="136"/>
      <c r="K1084" s="136"/>
      <c r="L1084" s="136"/>
      <c r="M1084" s="159"/>
      <c r="N1084" s="84"/>
      <c r="O1084" s="84"/>
      <c r="P1084" s="84"/>
      <c r="Q1084" s="84"/>
      <c r="R1084" s="84"/>
      <c r="S1084" s="159"/>
      <c r="T1084" s="159"/>
      <c r="U1084" s="159"/>
      <c r="V1084" s="159"/>
      <c r="W1084" s="159"/>
      <c r="X1084" s="159"/>
      <c r="AA1084" s="159"/>
    </row>
    <row r="1085" spans="4:27" s="66" customFormat="1">
      <c r="D1085" s="75"/>
      <c r="F1085" s="158"/>
      <c r="G1085" s="64"/>
      <c r="H1085" s="30"/>
      <c r="I1085" s="136"/>
      <c r="J1085" s="136"/>
      <c r="K1085" s="136"/>
      <c r="L1085" s="136"/>
      <c r="M1085" s="159"/>
      <c r="N1085" s="84"/>
      <c r="O1085" s="84"/>
      <c r="P1085" s="84"/>
      <c r="Q1085" s="84"/>
      <c r="R1085" s="84"/>
      <c r="S1085" s="159"/>
      <c r="T1085" s="159"/>
      <c r="U1085" s="159"/>
      <c r="V1085" s="159"/>
      <c r="W1085" s="159"/>
      <c r="X1085" s="159"/>
      <c r="AA1085" s="159"/>
    </row>
    <row r="1086" spans="4:27" s="66" customFormat="1">
      <c r="D1086" s="75"/>
      <c r="F1086" s="158"/>
      <c r="G1086" s="64"/>
      <c r="H1086" s="30"/>
      <c r="I1086" s="136"/>
      <c r="J1086" s="136"/>
      <c r="K1086" s="136"/>
      <c r="L1086" s="136"/>
      <c r="M1086" s="159"/>
      <c r="N1086" s="84"/>
      <c r="O1086" s="84"/>
      <c r="P1086" s="84"/>
      <c r="Q1086" s="84"/>
      <c r="R1086" s="84"/>
      <c r="S1086" s="159"/>
      <c r="T1086" s="159"/>
      <c r="U1086" s="159"/>
      <c r="V1086" s="159"/>
      <c r="W1086" s="159"/>
      <c r="X1086" s="159"/>
      <c r="AA1086" s="159"/>
    </row>
    <row r="1087" spans="4:27" s="66" customFormat="1">
      <c r="D1087" s="75"/>
      <c r="F1087" s="158"/>
      <c r="G1087" s="64"/>
      <c r="H1087" s="30"/>
      <c r="I1087" s="136"/>
      <c r="J1087" s="136"/>
      <c r="K1087" s="136"/>
      <c r="L1087" s="136"/>
      <c r="M1087" s="159"/>
      <c r="N1087" s="84"/>
      <c r="O1087" s="84"/>
      <c r="P1087" s="84"/>
      <c r="Q1087" s="84"/>
      <c r="R1087" s="84"/>
      <c r="S1087" s="159"/>
      <c r="T1087" s="159"/>
      <c r="U1087" s="159"/>
      <c r="V1087" s="159"/>
      <c r="W1087" s="159"/>
      <c r="X1087" s="159"/>
      <c r="AA1087" s="159"/>
    </row>
    <row r="1088" spans="4:27" s="66" customFormat="1">
      <c r="D1088" s="75"/>
      <c r="F1088" s="158"/>
      <c r="G1088" s="64"/>
      <c r="H1088" s="30"/>
      <c r="I1088" s="136"/>
      <c r="J1088" s="136"/>
      <c r="K1088" s="136"/>
      <c r="L1088" s="136"/>
      <c r="M1088" s="159"/>
      <c r="N1088" s="84"/>
      <c r="O1088" s="84"/>
      <c r="P1088" s="84"/>
      <c r="Q1088" s="84"/>
      <c r="R1088" s="84"/>
      <c r="S1088" s="159"/>
      <c r="T1088" s="159"/>
      <c r="U1088" s="159"/>
      <c r="V1088" s="159"/>
      <c r="W1088" s="159"/>
      <c r="X1088" s="159"/>
      <c r="AA1088" s="159"/>
    </row>
    <row r="1089" spans="4:27" s="66" customFormat="1">
      <c r="D1089" s="75"/>
      <c r="F1089" s="158"/>
      <c r="G1089" s="64"/>
      <c r="H1089" s="30"/>
      <c r="I1089" s="136"/>
      <c r="J1089" s="136"/>
      <c r="K1089" s="136"/>
      <c r="L1089" s="136"/>
      <c r="M1089" s="159"/>
      <c r="N1089" s="84"/>
      <c r="O1089" s="84"/>
      <c r="P1089" s="84"/>
      <c r="Q1089" s="84"/>
      <c r="R1089" s="84"/>
      <c r="S1089" s="159"/>
      <c r="T1089" s="159"/>
      <c r="U1089" s="159"/>
      <c r="V1089" s="159"/>
      <c r="W1089" s="159"/>
      <c r="X1089" s="159"/>
      <c r="AA1089" s="159"/>
    </row>
    <row r="1090" spans="4:27" s="66" customFormat="1">
      <c r="D1090" s="75"/>
      <c r="F1090" s="158"/>
      <c r="G1090" s="64"/>
      <c r="H1090" s="30"/>
      <c r="I1090" s="136"/>
      <c r="J1090" s="136"/>
      <c r="K1090" s="136"/>
      <c r="L1090" s="136"/>
      <c r="M1090" s="159"/>
      <c r="N1090" s="84"/>
      <c r="O1090" s="84"/>
      <c r="P1090" s="84"/>
      <c r="Q1090" s="84"/>
      <c r="R1090" s="84"/>
      <c r="S1090" s="159"/>
      <c r="T1090" s="159"/>
      <c r="U1090" s="159"/>
      <c r="V1090" s="159"/>
      <c r="W1090" s="159"/>
      <c r="X1090" s="159"/>
      <c r="AA1090" s="159"/>
    </row>
    <row r="1091" spans="4:27" s="66" customFormat="1">
      <c r="D1091" s="75"/>
      <c r="F1091" s="158"/>
      <c r="G1091" s="64"/>
      <c r="H1091" s="30"/>
      <c r="I1091" s="136"/>
      <c r="J1091" s="136"/>
      <c r="K1091" s="136"/>
      <c r="L1091" s="136"/>
      <c r="M1091" s="159"/>
      <c r="N1091" s="84"/>
      <c r="O1091" s="84"/>
      <c r="P1091" s="84"/>
      <c r="Q1091" s="84"/>
      <c r="R1091" s="84"/>
      <c r="S1091" s="159"/>
      <c r="T1091" s="159"/>
      <c r="U1091" s="159"/>
      <c r="V1091" s="159"/>
      <c r="W1091" s="159"/>
      <c r="X1091" s="159"/>
      <c r="AA1091" s="159"/>
    </row>
    <row r="1092" spans="4:27" s="66" customFormat="1">
      <c r="D1092" s="75"/>
      <c r="F1092" s="158"/>
      <c r="G1092" s="64"/>
      <c r="H1092" s="30"/>
      <c r="I1092" s="136"/>
      <c r="J1092" s="136"/>
      <c r="K1092" s="136"/>
      <c r="L1092" s="136"/>
      <c r="M1092" s="159"/>
      <c r="N1092" s="84"/>
      <c r="O1092" s="84"/>
      <c r="P1092" s="84"/>
      <c r="Q1092" s="84"/>
      <c r="R1092" s="84"/>
      <c r="S1092" s="159"/>
      <c r="T1092" s="159"/>
      <c r="U1092" s="159"/>
      <c r="V1092" s="159"/>
      <c r="W1092" s="159"/>
      <c r="X1092" s="159"/>
      <c r="AA1092" s="159"/>
    </row>
    <row r="1093" spans="4:27" s="66" customFormat="1">
      <c r="D1093" s="75"/>
      <c r="F1093" s="158"/>
      <c r="G1093" s="64"/>
      <c r="H1093" s="30"/>
      <c r="I1093" s="136"/>
      <c r="J1093" s="136"/>
      <c r="K1093" s="136"/>
      <c r="L1093" s="136"/>
      <c r="M1093" s="159"/>
      <c r="N1093" s="84"/>
      <c r="O1093" s="84"/>
      <c r="P1093" s="84"/>
      <c r="Q1093" s="84"/>
      <c r="R1093" s="84"/>
      <c r="S1093" s="159"/>
      <c r="T1093" s="159"/>
      <c r="U1093" s="159"/>
      <c r="V1093" s="159"/>
      <c r="W1093" s="159"/>
      <c r="X1093" s="159"/>
      <c r="AA1093" s="159"/>
    </row>
    <row r="1094" spans="4:27" s="66" customFormat="1">
      <c r="D1094" s="75"/>
      <c r="F1094" s="158"/>
      <c r="G1094" s="64"/>
      <c r="H1094" s="30"/>
      <c r="I1094" s="136"/>
      <c r="J1094" s="136"/>
      <c r="K1094" s="136"/>
      <c r="L1094" s="136"/>
      <c r="M1094" s="159"/>
      <c r="N1094" s="84"/>
      <c r="O1094" s="84"/>
      <c r="P1094" s="84"/>
      <c r="Q1094" s="84"/>
      <c r="R1094" s="84"/>
      <c r="S1094" s="159"/>
      <c r="T1094" s="159"/>
      <c r="U1094" s="159"/>
      <c r="V1094" s="159"/>
      <c r="W1094" s="159"/>
      <c r="X1094" s="159"/>
      <c r="AA1094" s="159"/>
    </row>
    <row r="1095" spans="4:27" s="66" customFormat="1">
      <c r="D1095" s="75"/>
      <c r="F1095" s="158"/>
      <c r="G1095" s="64"/>
      <c r="H1095" s="30"/>
      <c r="I1095" s="136"/>
      <c r="J1095" s="136"/>
      <c r="K1095" s="136"/>
      <c r="L1095" s="136"/>
      <c r="M1095" s="159"/>
      <c r="N1095" s="84"/>
      <c r="O1095" s="84"/>
      <c r="P1095" s="84"/>
      <c r="Q1095" s="84"/>
      <c r="R1095" s="84"/>
      <c r="S1095" s="159"/>
      <c r="T1095" s="159"/>
      <c r="U1095" s="159"/>
      <c r="V1095" s="159"/>
      <c r="W1095" s="159"/>
      <c r="X1095" s="159"/>
      <c r="AA1095" s="159"/>
    </row>
    <row r="1096" spans="4:27" s="66" customFormat="1">
      <c r="D1096" s="75"/>
      <c r="F1096" s="158"/>
      <c r="G1096" s="64"/>
      <c r="H1096" s="30"/>
      <c r="I1096" s="136"/>
      <c r="J1096" s="136"/>
      <c r="K1096" s="136"/>
      <c r="L1096" s="136"/>
      <c r="M1096" s="159"/>
      <c r="N1096" s="84"/>
      <c r="O1096" s="84"/>
      <c r="P1096" s="84"/>
      <c r="Q1096" s="84"/>
      <c r="R1096" s="84"/>
      <c r="S1096" s="159"/>
      <c r="T1096" s="159"/>
      <c r="U1096" s="159"/>
      <c r="V1096" s="159"/>
      <c r="W1096" s="159"/>
      <c r="X1096" s="159"/>
      <c r="AA1096" s="159"/>
    </row>
    <row r="1097" spans="4:27" s="66" customFormat="1">
      <c r="D1097" s="75"/>
      <c r="F1097" s="158"/>
      <c r="G1097" s="64"/>
      <c r="H1097" s="30"/>
      <c r="I1097" s="136"/>
      <c r="J1097" s="136"/>
      <c r="K1097" s="136"/>
      <c r="L1097" s="136"/>
      <c r="M1097" s="159"/>
      <c r="N1097" s="84"/>
      <c r="O1097" s="84"/>
      <c r="P1097" s="84"/>
      <c r="Q1097" s="84"/>
      <c r="R1097" s="84"/>
      <c r="S1097" s="159"/>
      <c r="T1097" s="159"/>
      <c r="U1097" s="159"/>
      <c r="V1097" s="159"/>
      <c r="W1097" s="159"/>
      <c r="X1097" s="159"/>
      <c r="AA1097" s="159"/>
    </row>
    <row r="1098" spans="4:27" s="66" customFormat="1">
      <c r="D1098" s="75"/>
      <c r="F1098" s="158"/>
      <c r="G1098" s="64"/>
      <c r="H1098" s="30"/>
      <c r="I1098" s="136"/>
      <c r="J1098" s="136"/>
      <c r="K1098" s="136"/>
      <c r="L1098" s="136"/>
      <c r="M1098" s="159"/>
      <c r="N1098" s="84"/>
      <c r="O1098" s="84"/>
      <c r="P1098" s="84"/>
      <c r="Q1098" s="84"/>
      <c r="R1098" s="84"/>
      <c r="S1098" s="159"/>
      <c r="T1098" s="159"/>
      <c r="U1098" s="159"/>
      <c r="V1098" s="159"/>
      <c r="W1098" s="159"/>
      <c r="X1098" s="159"/>
      <c r="AA1098" s="159"/>
    </row>
    <row r="1099" spans="4:27" s="66" customFormat="1">
      <c r="D1099" s="75"/>
      <c r="F1099" s="158"/>
      <c r="G1099" s="64"/>
      <c r="H1099" s="30"/>
      <c r="I1099" s="136"/>
      <c r="J1099" s="136"/>
      <c r="K1099" s="136"/>
      <c r="L1099" s="136"/>
      <c r="M1099" s="159"/>
      <c r="N1099" s="84"/>
      <c r="O1099" s="84"/>
      <c r="P1099" s="84"/>
      <c r="Q1099" s="84"/>
      <c r="R1099" s="84"/>
      <c r="S1099" s="159"/>
      <c r="T1099" s="159"/>
      <c r="U1099" s="159"/>
      <c r="V1099" s="159"/>
      <c r="W1099" s="159"/>
      <c r="X1099" s="159"/>
      <c r="AA1099" s="159"/>
    </row>
    <row r="1100" spans="4:27" s="66" customFormat="1">
      <c r="D1100" s="75"/>
      <c r="F1100" s="158"/>
      <c r="G1100" s="64"/>
      <c r="H1100" s="30"/>
      <c r="I1100" s="136"/>
      <c r="J1100" s="136"/>
      <c r="K1100" s="136"/>
      <c r="L1100" s="136"/>
      <c r="M1100" s="159"/>
      <c r="N1100" s="84"/>
      <c r="O1100" s="84"/>
      <c r="P1100" s="84"/>
      <c r="Q1100" s="84"/>
      <c r="R1100" s="84"/>
      <c r="S1100" s="159"/>
      <c r="T1100" s="159"/>
      <c r="U1100" s="159"/>
      <c r="V1100" s="159"/>
      <c r="W1100" s="159"/>
      <c r="X1100" s="159"/>
      <c r="AA1100" s="159"/>
    </row>
    <row r="1101" spans="4:27" s="66" customFormat="1">
      <c r="D1101" s="75"/>
      <c r="F1101" s="158"/>
      <c r="G1101" s="64"/>
      <c r="H1101" s="30"/>
      <c r="I1101" s="136"/>
      <c r="J1101" s="136"/>
      <c r="K1101" s="136"/>
      <c r="L1101" s="136"/>
      <c r="M1101" s="159"/>
      <c r="N1101" s="84"/>
      <c r="O1101" s="84"/>
      <c r="P1101" s="84"/>
      <c r="Q1101" s="84"/>
      <c r="R1101" s="84"/>
      <c r="S1101" s="159"/>
      <c r="T1101" s="159"/>
      <c r="U1101" s="159"/>
      <c r="V1101" s="159"/>
      <c r="W1101" s="159"/>
      <c r="X1101" s="159"/>
      <c r="AA1101" s="159"/>
    </row>
    <row r="1102" spans="4:27" s="66" customFormat="1">
      <c r="D1102" s="75"/>
      <c r="F1102" s="158"/>
      <c r="G1102" s="64"/>
      <c r="H1102" s="30"/>
      <c r="I1102" s="136"/>
      <c r="J1102" s="136"/>
      <c r="K1102" s="136"/>
      <c r="L1102" s="136"/>
      <c r="M1102" s="159"/>
      <c r="N1102" s="84"/>
      <c r="O1102" s="84"/>
      <c r="P1102" s="84"/>
      <c r="Q1102" s="84"/>
      <c r="R1102" s="84"/>
      <c r="S1102" s="159"/>
      <c r="T1102" s="159"/>
      <c r="U1102" s="159"/>
      <c r="V1102" s="159"/>
      <c r="W1102" s="159"/>
      <c r="X1102" s="159"/>
      <c r="AA1102" s="159"/>
    </row>
    <row r="1103" spans="4:27" s="66" customFormat="1">
      <c r="D1103" s="75"/>
      <c r="F1103" s="158"/>
      <c r="G1103" s="64"/>
      <c r="H1103" s="30"/>
      <c r="I1103" s="136"/>
      <c r="J1103" s="136"/>
      <c r="K1103" s="136"/>
      <c r="L1103" s="136"/>
      <c r="M1103" s="159"/>
      <c r="N1103" s="84"/>
      <c r="O1103" s="84"/>
      <c r="P1103" s="84"/>
      <c r="Q1103" s="84"/>
      <c r="R1103" s="84"/>
      <c r="S1103" s="159"/>
      <c r="T1103" s="159"/>
      <c r="U1103" s="159"/>
      <c r="V1103" s="159"/>
      <c r="W1103" s="159"/>
      <c r="X1103" s="159"/>
      <c r="AA1103" s="159"/>
    </row>
    <row r="1104" spans="4:27" s="66" customFormat="1">
      <c r="D1104" s="75"/>
      <c r="F1104" s="158"/>
      <c r="G1104" s="64"/>
      <c r="H1104" s="30"/>
      <c r="I1104" s="136"/>
      <c r="J1104" s="136"/>
      <c r="K1104" s="136"/>
      <c r="L1104" s="136"/>
      <c r="M1104" s="159"/>
      <c r="N1104" s="84"/>
      <c r="O1104" s="84"/>
      <c r="P1104" s="84"/>
      <c r="Q1104" s="84"/>
      <c r="R1104" s="84"/>
      <c r="S1104" s="159"/>
      <c r="T1104" s="159"/>
      <c r="U1104" s="159"/>
      <c r="V1104" s="159"/>
      <c r="W1104" s="159"/>
      <c r="X1104" s="159"/>
      <c r="AA1104" s="159"/>
    </row>
    <row r="1105" spans="4:27" s="66" customFormat="1">
      <c r="D1105" s="75"/>
      <c r="F1105" s="158"/>
      <c r="G1105" s="64"/>
      <c r="H1105" s="30"/>
      <c r="I1105" s="136"/>
      <c r="J1105" s="136"/>
      <c r="K1105" s="136"/>
      <c r="L1105" s="136"/>
      <c r="M1105" s="159"/>
      <c r="N1105" s="84"/>
      <c r="O1105" s="84"/>
      <c r="P1105" s="84"/>
      <c r="Q1105" s="84"/>
      <c r="R1105" s="84"/>
      <c r="S1105" s="159"/>
      <c r="T1105" s="159"/>
      <c r="U1105" s="159"/>
      <c r="V1105" s="159"/>
      <c r="W1105" s="159"/>
      <c r="X1105" s="159"/>
      <c r="AA1105" s="159"/>
    </row>
    <row r="1106" spans="4:27" s="66" customFormat="1">
      <c r="D1106" s="75"/>
      <c r="F1106" s="158"/>
      <c r="G1106" s="64"/>
      <c r="H1106" s="30"/>
      <c r="I1106" s="136"/>
      <c r="J1106" s="136"/>
      <c r="K1106" s="136"/>
      <c r="L1106" s="136"/>
      <c r="M1106" s="159"/>
      <c r="N1106" s="84"/>
      <c r="O1106" s="84"/>
      <c r="P1106" s="84"/>
      <c r="Q1106" s="84"/>
      <c r="R1106" s="84"/>
      <c r="S1106" s="159"/>
      <c r="T1106" s="159"/>
      <c r="U1106" s="159"/>
      <c r="V1106" s="159"/>
      <c r="W1106" s="159"/>
      <c r="X1106" s="159"/>
      <c r="AA1106" s="159"/>
    </row>
    <row r="1107" spans="4:27" s="66" customFormat="1">
      <c r="D1107" s="75"/>
      <c r="F1107" s="158"/>
      <c r="G1107" s="64"/>
      <c r="H1107" s="30"/>
      <c r="I1107" s="136"/>
      <c r="J1107" s="136"/>
      <c r="K1107" s="136"/>
      <c r="L1107" s="136"/>
      <c r="M1107" s="159"/>
      <c r="N1107" s="84"/>
      <c r="O1107" s="84"/>
      <c r="P1107" s="84"/>
      <c r="Q1107" s="84"/>
      <c r="R1107" s="84"/>
      <c r="S1107" s="159"/>
      <c r="T1107" s="159"/>
      <c r="U1107" s="159"/>
      <c r="V1107" s="159"/>
      <c r="W1107" s="159"/>
      <c r="X1107" s="159"/>
      <c r="AA1107" s="159"/>
    </row>
    <row r="1108" spans="4:27" s="66" customFormat="1">
      <c r="D1108" s="75"/>
      <c r="F1108" s="158"/>
      <c r="G1108" s="64"/>
      <c r="H1108" s="30"/>
      <c r="I1108" s="136"/>
      <c r="J1108" s="136"/>
      <c r="K1108" s="136"/>
      <c r="L1108" s="136"/>
      <c r="M1108" s="159"/>
      <c r="N1108" s="84"/>
      <c r="O1108" s="84"/>
      <c r="P1108" s="84"/>
      <c r="Q1108" s="84"/>
      <c r="R1108" s="84"/>
      <c r="S1108" s="159"/>
      <c r="T1108" s="159"/>
      <c r="U1108" s="159"/>
      <c r="V1108" s="159"/>
      <c r="W1108" s="159"/>
      <c r="X1108" s="159"/>
      <c r="AA1108" s="159"/>
    </row>
    <row r="1109" spans="4:27" s="66" customFormat="1">
      <c r="D1109" s="75"/>
      <c r="F1109" s="158"/>
      <c r="G1109" s="64"/>
      <c r="H1109" s="30"/>
      <c r="I1109" s="136"/>
      <c r="J1109" s="136"/>
      <c r="K1109" s="136"/>
      <c r="L1109" s="136"/>
      <c r="M1109" s="159"/>
      <c r="N1109" s="84"/>
      <c r="O1109" s="84"/>
      <c r="P1109" s="84"/>
      <c r="Q1109" s="84"/>
      <c r="R1109" s="84"/>
      <c r="S1109" s="159"/>
      <c r="T1109" s="159"/>
      <c r="U1109" s="159"/>
      <c r="V1109" s="159"/>
      <c r="W1109" s="159"/>
      <c r="X1109" s="159"/>
      <c r="AA1109" s="159"/>
    </row>
    <row r="1110" spans="4:27" s="66" customFormat="1">
      <c r="D1110" s="75"/>
      <c r="F1110" s="158"/>
      <c r="G1110" s="64"/>
      <c r="H1110" s="30"/>
      <c r="I1110" s="136"/>
      <c r="J1110" s="136"/>
      <c r="K1110" s="136"/>
      <c r="L1110" s="136"/>
      <c r="M1110" s="159"/>
      <c r="N1110" s="84"/>
      <c r="O1110" s="84"/>
      <c r="P1110" s="84"/>
      <c r="Q1110" s="84"/>
      <c r="R1110" s="84"/>
      <c r="S1110" s="159"/>
      <c r="T1110" s="159"/>
      <c r="U1110" s="159"/>
      <c r="V1110" s="159"/>
      <c r="W1110" s="159"/>
      <c r="X1110" s="159"/>
      <c r="AA1110" s="159"/>
    </row>
    <row r="1111" spans="4:27" s="66" customFormat="1">
      <c r="D1111" s="75"/>
      <c r="F1111" s="158"/>
      <c r="G1111" s="64"/>
      <c r="H1111" s="30"/>
      <c r="I1111" s="136"/>
      <c r="J1111" s="136"/>
      <c r="K1111" s="136"/>
      <c r="L1111" s="136"/>
      <c r="M1111" s="159"/>
      <c r="N1111" s="84"/>
      <c r="O1111" s="84"/>
      <c r="P1111" s="84"/>
      <c r="Q1111" s="84"/>
      <c r="R1111" s="84"/>
      <c r="S1111" s="159"/>
      <c r="T1111" s="159"/>
      <c r="U1111" s="159"/>
      <c r="V1111" s="159"/>
      <c r="W1111" s="159"/>
      <c r="X1111" s="159"/>
      <c r="AA1111" s="159"/>
    </row>
    <row r="1112" spans="4:27" s="66" customFormat="1">
      <c r="D1112" s="75"/>
      <c r="F1112" s="158"/>
      <c r="G1112" s="64"/>
      <c r="H1112" s="30"/>
      <c r="I1112" s="136"/>
      <c r="J1112" s="136"/>
      <c r="K1112" s="136"/>
      <c r="L1112" s="136"/>
      <c r="M1112" s="159"/>
      <c r="N1112" s="84"/>
      <c r="O1112" s="84"/>
      <c r="P1112" s="84"/>
      <c r="Q1112" s="84"/>
      <c r="R1112" s="84"/>
      <c r="S1112" s="159"/>
      <c r="T1112" s="159"/>
      <c r="U1112" s="159"/>
      <c r="V1112" s="159"/>
      <c r="W1112" s="159"/>
      <c r="X1112" s="159"/>
      <c r="AA1112" s="159"/>
    </row>
    <row r="1113" spans="4:27" s="66" customFormat="1">
      <c r="D1113" s="75"/>
      <c r="F1113" s="158"/>
      <c r="G1113" s="64"/>
      <c r="H1113" s="30"/>
      <c r="I1113" s="136"/>
      <c r="J1113" s="136"/>
      <c r="K1113" s="136"/>
      <c r="L1113" s="136"/>
      <c r="M1113" s="159"/>
      <c r="N1113" s="84"/>
      <c r="O1113" s="84"/>
      <c r="P1113" s="84"/>
      <c r="Q1113" s="84"/>
      <c r="R1113" s="84"/>
      <c r="S1113" s="159"/>
      <c r="T1113" s="159"/>
      <c r="U1113" s="159"/>
      <c r="V1113" s="159"/>
      <c r="W1113" s="159"/>
      <c r="X1113" s="159"/>
      <c r="AA1113" s="159"/>
    </row>
    <row r="1114" spans="4:27" s="66" customFormat="1">
      <c r="D1114" s="75"/>
      <c r="F1114" s="158"/>
      <c r="G1114" s="64"/>
      <c r="H1114" s="30"/>
      <c r="I1114" s="136"/>
      <c r="J1114" s="136"/>
      <c r="K1114" s="136"/>
      <c r="L1114" s="136"/>
      <c r="M1114" s="159"/>
      <c r="N1114" s="84"/>
      <c r="O1114" s="84"/>
      <c r="P1114" s="84"/>
      <c r="Q1114" s="84"/>
      <c r="R1114" s="84"/>
      <c r="S1114" s="159"/>
      <c r="T1114" s="159"/>
      <c r="U1114" s="159"/>
      <c r="V1114" s="159"/>
      <c r="W1114" s="159"/>
      <c r="X1114" s="159"/>
      <c r="AA1114" s="159"/>
    </row>
    <row r="1115" spans="4:27" s="66" customFormat="1">
      <c r="D1115" s="75"/>
      <c r="F1115" s="158"/>
      <c r="G1115" s="64"/>
      <c r="H1115" s="30"/>
      <c r="I1115" s="136"/>
      <c r="J1115" s="136"/>
      <c r="K1115" s="136"/>
      <c r="L1115" s="136"/>
      <c r="M1115" s="159"/>
      <c r="N1115" s="84"/>
      <c r="O1115" s="84"/>
      <c r="P1115" s="84"/>
      <c r="Q1115" s="84"/>
      <c r="R1115" s="84"/>
      <c r="S1115" s="159"/>
      <c r="T1115" s="159"/>
      <c r="U1115" s="159"/>
      <c r="V1115" s="159"/>
      <c r="W1115" s="159"/>
      <c r="X1115" s="159"/>
      <c r="AA1115" s="159"/>
    </row>
    <row r="1116" spans="4:27" s="66" customFormat="1">
      <c r="D1116" s="75"/>
      <c r="F1116" s="158"/>
      <c r="G1116" s="64"/>
      <c r="H1116" s="30"/>
      <c r="I1116" s="136"/>
      <c r="J1116" s="136"/>
      <c r="K1116" s="136"/>
      <c r="L1116" s="136"/>
      <c r="M1116" s="159"/>
      <c r="N1116" s="84"/>
      <c r="O1116" s="84"/>
      <c r="P1116" s="84"/>
      <c r="Q1116" s="84"/>
      <c r="R1116" s="84"/>
      <c r="S1116" s="159"/>
      <c r="T1116" s="159"/>
      <c r="U1116" s="159"/>
      <c r="V1116" s="159"/>
      <c r="W1116" s="159"/>
      <c r="X1116" s="159"/>
      <c r="AA1116" s="159"/>
    </row>
    <row r="1117" spans="4:27" s="66" customFormat="1">
      <c r="D1117" s="75"/>
      <c r="F1117" s="158"/>
      <c r="G1117" s="64"/>
      <c r="H1117" s="30"/>
      <c r="I1117" s="136"/>
      <c r="J1117" s="136"/>
      <c r="K1117" s="136"/>
      <c r="L1117" s="136"/>
      <c r="M1117" s="159"/>
      <c r="N1117" s="84"/>
      <c r="O1117" s="84"/>
      <c r="P1117" s="84"/>
      <c r="Q1117" s="84"/>
      <c r="R1117" s="84"/>
      <c r="S1117" s="159"/>
      <c r="T1117" s="159"/>
      <c r="U1117" s="159"/>
      <c r="V1117" s="159"/>
      <c r="W1117" s="159"/>
      <c r="X1117" s="159"/>
      <c r="AA1117" s="159"/>
    </row>
    <row r="1118" spans="4:27" s="66" customFormat="1">
      <c r="D1118" s="75"/>
      <c r="F1118" s="158"/>
      <c r="G1118" s="64"/>
      <c r="H1118" s="30"/>
      <c r="I1118" s="136"/>
      <c r="J1118" s="136"/>
      <c r="K1118" s="136"/>
      <c r="L1118" s="136"/>
      <c r="M1118" s="159"/>
      <c r="N1118" s="84"/>
      <c r="O1118" s="84"/>
      <c r="P1118" s="84"/>
      <c r="Q1118" s="84"/>
      <c r="R1118" s="84"/>
      <c r="S1118" s="159"/>
      <c r="T1118" s="159"/>
      <c r="U1118" s="159"/>
      <c r="V1118" s="159"/>
      <c r="W1118" s="159"/>
      <c r="X1118" s="159"/>
      <c r="AA1118" s="159"/>
    </row>
    <row r="1119" spans="4:27" s="66" customFormat="1">
      <c r="D1119" s="75"/>
      <c r="F1119" s="158"/>
      <c r="G1119" s="64"/>
      <c r="H1119" s="30"/>
      <c r="I1119" s="136"/>
      <c r="J1119" s="136"/>
      <c r="K1119" s="136"/>
      <c r="L1119" s="136"/>
      <c r="M1119" s="159"/>
      <c r="N1119" s="84"/>
      <c r="O1119" s="84"/>
      <c r="P1119" s="84"/>
      <c r="Q1119" s="84"/>
      <c r="R1119" s="84"/>
      <c r="S1119" s="159"/>
      <c r="T1119" s="159"/>
      <c r="U1119" s="159"/>
      <c r="V1119" s="159"/>
      <c r="W1119" s="159"/>
      <c r="X1119" s="159"/>
      <c r="AA1119" s="159"/>
    </row>
    <row r="1120" spans="4:27" s="66" customFormat="1">
      <c r="D1120" s="75"/>
      <c r="F1120" s="158"/>
      <c r="G1120" s="64"/>
      <c r="H1120" s="30"/>
      <c r="I1120" s="136"/>
      <c r="J1120" s="136"/>
      <c r="K1120" s="136"/>
      <c r="L1120" s="136"/>
      <c r="M1120" s="159"/>
      <c r="N1120" s="84"/>
      <c r="O1120" s="84"/>
      <c r="P1120" s="84"/>
      <c r="Q1120" s="84"/>
      <c r="R1120" s="84"/>
      <c r="S1120" s="159"/>
      <c r="T1120" s="159"/>
      <c r="U1120" s="159"/>
      <c r="V1120" s="159"/>
      <c r="W1120" s="159"/>
      <c r="X1120" s="159"/>
      <c r="AA1120" s="159"/>
    </row>
    <row r="1121" spans="4:27" s="66" customFormat="1">
      <c r="D1121" s="75"/>
      <c r="F1121" s="158"/>
      <c r="G1121" s="64"/>
      <c r="H1121" s="30"/>
      <c r="I1121" s="136"/>
      <c r="J1121" s="136"/>
      <c r="K1121" s="136"/>
      <c r="L1121" s="136"/>
      <c r="M1121" s="159"/>
      <c r="N1121" s="84"/>
      <c r="O1121" s="84"/>
      <c r="P1121" s="84"/>
      <c r="Q1121" s="84"/>
      <c r="R1121" s="84"/>
      <c r="S1121" s="159"/>
      <c r="T1121" s="159"/>
      <c r="U1121" s="159"/>
      <c r="V1121" s="159"/>
      <c r="W1121" s="159"/>
      <c r="X1121" s="159"/>
      <c r="AA1121" s="159"/>
    </row>
    <row r="1122" spans="4:27" s="66" customFormat="1">
      <c r="D1122" s="75"/>
      <c r="F1122" s="158"/>
      <c r="G1122" s="64"/>
      <c r="H1122" s="30"/>
      <c r="I1122" s="136"/>
      <c r="J1122" s="136"/>
      <c r="K1122" s="136"/>
      <c r="L1122" s="136"/>
      <c r="M1122" s="159"/>
      <c r="N1122" s="84"/>
      <c r="O1122" s="84"/>
      <c r="P1122" s="84"/>
      <c r="Q1122" s="84"/>
      <c r="R1122" s="84"/>
      <c r="S1122" s="159"/>
      <c r="T1122" s="159"/>
      <c r="U1122" s="159"/>
      <c r="V1122" s="159"/>
      <c r="W1122" s="159"/>
      <c r="X1122" s="159"/>
      <c r="AA1122" s="159"/>
    </row>
    <row r="1123" spans="4:27" s="66" customFormat="1">
      <c r="D1123" s="75"/>
      <c r="F1123" s="158"/>
      <c r="G1123" s="64"/>
      <c r="H1123" s="30"/>
      <c r="I1123" s="136"/>
      <c r="J1123" s="136"/>
      <c r="K1123" s="136"/>
      <c r="L1123" s="136"/>
      <c r="M1123" s="159"/>
      <c r="N1123" s="84"/>
      <c r="O1123" s="84"/>
      <c r="P1123" s="84"/>
      <c r="Q1123" s="84"/>
      <c r="R1123" s="84"/>
      <c r="S1123" s="159"/>
      <c r="T1123" s="159"/>
      <c r="U1123" s="159"/>
      <c r="V1123" s="159"/>
      <c r="W1123" s="159"/>
      <c r="X1123" s="159"/>
      <c r="AA1123" s="159"/>
    </row>
    <row r="1124" spans="4:27" s="66" customFormat="1">
      <c r="D1124" s="75"/>
      <c r="F1124" s="158"/>
      <c r="G1124" s="64"/>
      <c r="H1124" s="30"/>
      <c r="I1124" s="136"/>
      <c r="J1124" s="136"/>
      <c r="K1124" s="136"/>
      <c r="L1124" s="136"/>
      <c r="M1124" s="159"/>
      <c r="N1124" s="84"/>
      <c r="O1124" s="84"/>
      <c r="P1124" s="84"/>
      <c r="Q1124" s="84"/>
      <c r="R1124" s="84"/>
      <c r="S1124" s="159"/>
      <c r="T1124" s="159"/>
      <c r="U1124" s="159"/>
      <c r="V1124" s="159"/>
      <c r="W1124" s="159"/>
      <c r="X1124" s="159"/>
      <c r="AA1124" s="159"/>
    </row>
    <row r="1125" spans="4:27" s="66" customFormat="1">
      <c r="D1125" s="75"/>
      <c r="F1125" s="158"/>
      <c r="G1125" s="64"/>
      <c r="H1125" s="30"/>
      <c r="I1125" s="136"/>
      <c r="J1125" s="136"/>
      <c r="K1125" s="136"/>
      <c r="L1125" s="136"/>
      <c r="M1125" s="159"/>
      <c r="N1125" s="84"/>
      <c r="O1125" s="84"/>
      <c r="P1125" s="84"/>
      <c r="Q1125" s="84"/>
      <c r="R1125" s="84"/>
      <c r="S1125" s="159"/>
      <c r="T1125" s="159"/>
      <c r="U1125" s="159"/>
      <c r="V1125" s="159"/>
      <c r="W1125" s="159"/>
      <c r="X1125" s="159"/>
      <c r="AA1125" s="159"/>
    </row>
    <row r="1126" spans="4:27" s="66" customFormat="1">
      <c r="D1126" s="75"/>
      <c r="F1126" s="158"/>
      <c r="G1126" s="64"/>
      <c r="H1126" s="30"/>
      <c r="I1126" s="136"/>
      <c r="J1126" s="136"/>
      <c r="K1126" s="136"/>
      <c r="L1126" s="136"/>
      <c r="M1126" s="159"/>
      <c r="N1126" s="84"/>
      <c r="O1126" s="84"/>
      <c r="P1126" s="84"/>
      <c r="Q1126" s="84"/>
      <c r="R1126" s="84"/>
      <c r="S1126" s="159"/>
      <c r="T1126" s="159"/>
      <c r="U1126" s="159"/>
      <c r="V1126" s="159"/>
      <c r="W1126" s="159"/>
      <c r="X1126" s="159"/>
      <c r="AA1126" s="159"/>
    </row>
    <row r="1127" spans="4:27" s="66" customFormat="1">
      <c r="D1127" s="75"/>
      <c r="F1127" s="158"/>
      <c r="G1127" s="64"/>
      <c r="H1127" s="30"/>
      <c r="I1127" s="136"/>
      <c r="J1127" s="136"/>
      <c r="K1127" s="136"/>
      <c r="L1127" s="136"/>
      <c r="M1127" s="159"/>
      <c r="N1127" s="84"/>
      <c r="O1127" s="84"/>
      <c r="P1127" s="84"/>
      <c r="Q1127" s="84"/>
      <c r="R1127" s="84"/>
      <c r="S1127" s="159"/>
      <c r="T1127" s="159"/>
      <c r="U1127" s="159"/>
      <c r="V1127" s="159"/>
      <c r="W1127" s="159"/>
      <c r="X1127" s="159"/>
      <c r="AA1127" s="159"/>
    </row>
    <row r="1128" spans="4:27" s="66" customFormat="1">
      <c r="D1128" s="75"/>
      <c r="F1128" s="158"/>
      <c r="G1128" s="64"/>
      <c r="H1128" s="30"/>
      <c r="I1128" s="136"/>
      <c r="J1128" s="136"/>
      <c r="K1128" s="136"/>
      <c r="L1128" s="136"/>
      <c r="M1128" s="159"/>
      <c r="N1128" s="84"/>
      <c r="O1128" s="84"/>
      <c r="P1128" s="84"/>
      <c r="Q1128" s="84"/>
      <c r="R1128" s="84"/>
      <c r="S1128" s="159"/>
      <c r="T1128" s="159"/>
      <c r="U1128" s="159"/>
      <c r="V1128" s="159"/>
      <c r="W1128" s="159"/>
      <c r="X1128" s="159"/>
      <c r="AA1128" s="159"/>
    </row>
    <row r="1129" spans="4:27" s="66" customFormat="1">
      <c r="D1129" s="75"/>
      <c r="F1129" s="158"/>
      <c r="G1129" s="64"/>
      <c r="H1129" s="30"/>
      <c r="I1129" s="136"/>
      <c r="J1129" s="136"/>
      <c r="K1129" s="136"/>
      <c r="L1129" s="136"/>
      <c r="M1129" s="159"/>
      <c r="N1129" s="84"/>
      <c r="O1129" s="84"/>
      <c r="P1129" s="84"/>
      <c r="Q1129" s="84"/>
      <c r="R1129" s="84"/>
      <c r="S1129" s="159"/>
      <c r="T1129" s="159"/>
      <c r="U1129" s="159"/>
      <c r="V1129" s="159"/>
      <c r="W1129" s="159"/>
      <c r="X1129" s="159"/>
      <c r="AA1129" s="159"/>
    </row>
    <row r="1130" spans="4:27" s="66" customFormat="1">
      <c r="D1130" s="75"/>
      <c r="F1130" s="158"/>
      <c r="G1130" s="64"/>
      <c r="H1130" s="30"/>
      <c r="I1130" s="136"/>
      <c r="J1130" s="136"/>
      <c r="K1130" s="136"/>
      <c r="L1130" s="136"/>
      <c r="M1130" s="159"/>
      <c r="N1130" s="84"/>
      <c r="O1130" s="84"/>
      <c r="P1130" s="84"/>
      <c r="Q1130" s="84"/>
      <c r="R1130" s="84"/>
      <c r="S1130" s="159"/>
      <c r="T1130" s="159"/>
      <c r="U1130" s="159"/>
      <c r="V1130" s="159"/>
      <c r="W1130" s="159"/>
      <c r="X1130" s="159"/>
      <c r="AA1130" s="159"/>
    </row>
    <row r="1131" spans="4:27" s="66" customFormat="1">
      <c r="D1131" s="75"/>
      <c r="F1131" s="158"/>
      <c r="G1131" s="64"/>
      <c r="H1131" s="30"/>
      <c r="I1131" s="136"/>
      <c r="J1131" s="136"/>
      <c r="K1131" s="136"/>
      <c r="L1131" s="136"/>
      <c r="M1131" s="159"/>
      <c r="N1131" s="84"/>
      <c r="O1131" s="84"/>
      <c r="P1131" s="84"/>
      <c r="Q1131" s="84"/>
      <c r="R1131" s="84"/>
      <c r="S1131" s="159"/>
      <c r="T1131" s="159"/>
      <c r="U1131" s="159"/>
      <c r="V1131" s="159"/>
      <c r="W1131" s="159"/>
      <c r="X1131" s="159"/>
      <c r="AA1131" s="159"/>
    </row>
    <row r="1132" spans="4:27" s="66" customFormat="1">
      <c r="D1132" s="75"/>
      <c r="F1132" s="158"/>
      <c r="G1132" s="64"/>
      <c r="H1132" s="30"/>
      <c r="I1132" s="136"/>
      <c r="J1132" s="136"/>
      <c r="K1132" s="136"/>
      <c r="L1132" s="136"/>
      <c r="M1132" s="159"/>
      <c r="N1132" s="84"/>
      <c r="O1132" s="84"/>
      <c r="P1132" s="84"/>
      <c r="Q1132" s="84"/>
      <c r="R1132" s="84"/>
      <c r="S1132" s="159"/>
      <c r="T1132" s="159"/>
      <c r="U1132" s="159"/>
      <c r="V1132" s="159"/>
      <c r="W1132" s="159"/>
      <c r="X1132" s="159"/>
      <c r="AA1132" s="159"/>
    </row>
    <row r="1133" spans="4:27" s="66" customFormat="1">
      <c r="D1133" s="75"/>
      <c r="F1133" s="158"/>
      <c r="G1133" s="64"/>
      <c r="H1133" s="30"/>
      <c r="I1133" s="136"/>
      <c r="J1133" s="136"/>
      <c r="K1133" s="136"/>
      <c r="L1133" s="136"/>
      <c r="M1133" s="159"/>
      <c r="N1133" s="84"/>
      <c r="O1133" s="84"/>
      <c r="P1133" s="84"/>
      <c r="Q1133" s="84"/>
      <c r="R1133" s="84"/>
      <c r="S1133" s="159"/>
      <c r="T1133" s="159"/>
      <c r="U1133" s="159"/>
      <c r="V1133" s="159"/>
      <c r="W1133" s="159"/>
      <c r="X1133" s="159"/>
      <c r="AA1133" s="159"/>
    </row>
    <row r="1134" spans="4:27" s="66" customFormat="1">
      <c r="D1134" s="75"/>
      <c r="F1134" s="158"/>
      <c r="G1134" s="64"/>
      <c r="H1134" s="30"/>
      <c r="I1134" s="136"/>
      <c r="J1134" s="136"/>
      <c r="K1134" s="136"/>
      <c r="L1134" s="136"/>
      <c r="M1134" s="159"/>
      <c r="N1134" s="84"/>
      <c r="O1134" s="84"/>
      <c r="P1134" s="84"/>
      <c r="Q1134" s="84"/>
      <c r="R1134" s="84"/>
      <c r="S1134" s="159"/>
      <c r="T1134" s="159"/>
      <c r="U1134" s="159"/>
      <c r="V1134" s="159"/>
      <c r="W1134" s="159"/>
      <c r="X1134" s="159"/>
      <c r="AA1134" s="159"/>
    </row>
    <row r="1135" spans="4:27" s="66" customFormat="1">
      <c r="D1135" s="75"/>
      <c r="F1135" s="158"/>
      <c r="G1135" s="64"/>
      <c r="H1135" s="30"/>
      <c r="I1135" s="136"/>
      <c r="J1135" s="136"/>
      <c r="K1135" s="136"/>
      <c r="L1135" s="136"/>
      <c r="M1135" s="159"/>
      <c r="N1135" s="84"/>
      <c r="O1135" s="84"/>
      <c r="P1135" s="84"/>
      <c r="Q1135" s="84"/>
      <c r="R1135" s="84"/>
      <c r="S1135" s="159"/>
      <c r="T1135" s="159"/>
      <c r="U1135" s="159"/>
      <c r="V1135" s="159"/>
      <c r="W1135" s="159"/>
      <c r="X1135" s="159"/>
      <c r="AA1135" s="159"/>
    </row>
    <row r="1136" spans="4:27" s="66" customFormat="1">
      <c r="D1136" s="75"/>
      <c r="F1136" s="158"/>
      <c r="G1136" s="64"/>
      <c r="H1136" s="30"/>
      <c r="I1136" s="136"/>
      <c r="J1136" s="136"/>
      <c r="K1136" s="136"/>
      <c r="L1136" s="136"/>
      <c r="M1136" s="159"/>
      <c r="N1136" s="84"/>
      <c r="O1136" s="84"/>
      <c r="P1136" s="84"/>
      <c r="Q1136" s="84"/>
      <c r="R1136" s="84"/>
      <c r="S1136" s="159"/>
      <c r="T1136" s="159"/>
      <c r="U1136" s="159"/>
      <c r="V1136" s="159"/>
      <c r="W1136" s="159"/>
      <c r="X1136" s="159"/>
      <c r="AA1136" s="159"/>
    </row>
    <row r="1137" spans="4:27" s="66" customFormat="1">
      <c r="D1137" s="75"/>
      <c r="F1137" s="158"/>
      <c r="G1137" s="64"/>
      <c r="H1137" s="30"/>
      <c r="I1137" s="136"/>
      <c r="J1137" s="136"/>
      <c r="K1137" s="136"/>
      <c r="L1137" s="136"/>
      <c r="M1137" s="159"/>
      <c r="N1137" s="84"/>
      <c r="O1137" s="84"/>
      <c r="P1137" s="84"/>
      <c r="Q1137" s="84"/>
      <c r="R1137" s="84"/>
      <c r="S1137" s="159"/>
      <c r="T1137" s="159"/>
      <c r="U1137" s="159"/>
      <c r="V1137" s="159"/>
      <c r="W1137" s="159"/>
      <c r="X1137" s="159"/>
      <c r="AA1137" s="159"/>
    </row>
    <row r="1138" spans="4:27" s="66" customFormat="1">
      <c r="D1138" s="75"/>
      <c r="F1138" s="158"/>
      <c r="G1138" s="64"/>
      <c r="H1138" s="30"/>
      <c r="I1138" s="136"/>
      <c r="J1138" s="136"/>
      <c r="K1138" s="136"/>
      <c r="L1138" s="136"/>
      <c r="M1138" s="159"/>
      <c r="N1138" s="84"/>
      <c r="O1138" s="84"/>
      <c r="P1138" s="84"/>
      <c r="Q1138" s="84"/>
      <c r="R1138" s="84"/>
      <c r="S1138" s="159"/>
      <c r="T1138" s="159"/>
      <c r="U1138" s="159"/>
      <c r="V1138" s="159"/>
      <c r="W1138" s="159"/>
      <c r="X1138" s="159"/>
      <c r="AA1138" s="159"/>
    </row>
    <row r="1139" spans="4:27" s="66" customFormat="1">
      <c r="D1139" s="75"/>
      <c r="F1139" s="158"/>
      <c r="G1139" s="64"/>
      <c r="H1139" s="30"/>
      <c r="I1139" s="136"/>
      <c r="J1139" s="136"/>
      <c r="K1139" s="136"/>
      <c r="L1139" s="136"/>
      <c r="M1139" s="159"/>
      <c r="N1139" s="84"/>
      <c r="O1139" s="84"/>
      <c r="P1139" s="84"/>
      <c r="Q1139" s="84"/>
      <c r="R1139" s="84"/>
      <c r="S1139" s="159"/>
      <c r="T1139" s="159"/>
      <c r="U1139" s="159"/>
      <c r="V1139" s="159"/>
      <c r="W1139" s="159"/>
      <c r="X1139" s="159"/>
      <c r="AA1139" s="159"/>
    </row>
    <row r="1140" spans="4:27" s="66" customFormat="1">
      <c r="D1140" s="75"/>
      <c r="F1140" s="158"/>
      <c r="G1140" s="64"/>
      <c r="H1140" s="30"/>
      <c r="I1140" s="136"/>
      <c r="J1140" s="136"/>
      <c r="K1140" s="136"/>
      <c r="L1140" s="136"/>
      <c r="M1140" s="159"/>
      <c r="N1140" s="84"/>
      <c r="O1140" s="84"/>
      <c r="P1140" s="84"/>
      <c r="Q1140" s="84"/>
      <c r="R1140" s="84"/>
      <c r="S1140" s="159"/>
      <c r="T1140" s="159"/>
      <c r="U1140" s="159"/>
      <c r="V1140" s="159"/>
      <c r="W1140" s="159"/>
      <c r="X1140" s="159"/>
      <c r="AA1140" s="159"/>
    </row>
    <row r="1141" spans="4:27" s="66" customFormat="1">
      <c r="D1141" s="75"/>
      <c r="F1141" s="158"/>
      <c r="G1141" s="64"/>
      <c r="H1141" s="30"/>
      <c r="I1141" s="136"/>
      <c r="J1141" s="136"/>
      <c r="K1141" s="136"/>
      <c r="L1141" s="136"/>
      <c r="M1141" s="159"/>
      <c r="N1141" s="84"/>
      <c r="O1141" s="84"/>
      <c r="P1141" s="84"/>
      <c r="Q1141" s="84"/>
      <c r="R1141" s="84"/>
      <c r="S1141" s="159"/>
      <c r="T1141" s="159"/>
      <c r="U1141" s="159"/>
      <c r="V1141" s="159"/>
      <c r="W1141" s="159"/>
      <c r="X1141" s="159"/>
      <c r="AA1141" s="159"/>
    </row>
    <row r="1142" spans="4:27" s="66" customFormat="1">
      <c r="D1142" s="75"/>
      <c r="F1142" s="158"/>
      <c r="G1142" s="64"/>
      <c r="H1142" s="30"/>
      <c r="I1142" s="136"/>
      <c r="J1142" s="136"/>
      <c r="K1142" s="136"/>
      <c r="L1142" s="136"/>
      <c r="M1142" s="159"/>
      <c r="N1142" s="84"/>
      <c r="O1142" s="84"/>
      <c r="P1142" s="84"/>
      <c r="Q1142" s="84"/>
      <c r="R1142" s="84"/>
      <c r="S1142" s="159"/>
      <c r="T1142" s="159"/>
      <c r="U1142" s="159"/>
      <c r="V1142" s="159"/>
      <c r="W1142" s="159"/>
      <c r="X1142" s="159"/>
      <c r="AA1142" s="159"/>
    </row>
    <row r="1143" spans="4:27" s="66" customFormat="1">
      <c r="D1143" s="75"/>
      <c r="F1143" s="158"/>
      <c r="G1143" s="64"/>
      <c r="H1143" s="30"/>
      <c r="I1143" s="136"/>
      <c r="J1143" s="136"/>
      <c r="K1143" s="136"/>
      <c r="L1143" s="136"/>
      <c r="M1143" s="159"/>
      <c r="N1143" s="84"/>
      <c r="O1143" s="84"/>
      <c r="P1143" s="84"/>
      <c r="Q1143" s="84"/>
      <c r="R1143" s="84"/>
      <c r="S1143" s="159"/>
      <c r="T1143" s="159"/>
      <c r="U1143" s="159"/>
      <c r="V1143" s="159"/>
      <c r="W1143" s="159"/>
      <c r="X1143" s="159"/>
      <c r="AA1143" s="159"/>
    </row>
    <row r="1144" spans="4:27" s="66" customFormat="1">
      <c r="D1144" s="75"/>
      <c r="F1144" s="158"/>
      <c r="G1144" s="64"/>
      <c r="H1144" s="30"/>
      <c r="I1144" s="136"/>
      <c r="J1144" s="136"/>
      <c r="K1144" s="136"/>
      <c r="L1144" s="136"/>
      <c r="M1144" s="159"/>
      <c r="N1144" s="84"/>
      <c r="O1144" s="84"/>
      <c r="P1144" s="84"/>
      <c r="Q1144" s="84"/>
      <c r="R1144" s="84"/>
      <c r="S1144" s="159"/>
      <c r="T1144" s="159"/>
      <c r="U1144" s="159"/>
      <c r="V1144" s="159"/>
      <c r="W1144" s="159"/>
      <c r="X1144" s="159"/>
      <c r="AA1144" s="159"/>
    </row>
    <row r="1145" spans="4:27" s="66" customFormat="1">
      <c r="D1145" s="75"/>
      <c r="F1145" s="158"/>
      <c r="G1145" s="64"/>
      <c r="H1145" s="30"/>
      <c r="I1145" s="136"/>
      <c r="J1145" s="136"/>
      <c r="K1145" s="136"/>
      <c r="L1145" s="136"/>
      <c r="M1145" s="159"/>
      <c r="N1145" s="84"/>
      <c r="O1145" s="84"/>
      <c r="P1145" s="84"/>
      <c r="Q1145" s="84"/>
      <c r="R1145" s="84"/>
      <c r="S1145" s="159"/>
      <c r="T1145" s="159"/>
      <c r="U1145" s="159"/>
      <c r="V1145" s="159"/>
      <c r="W1145" s="159"/>
      <c r="X1145" s="159"/>
      <c r="AA1145" s="159"/>
    </row>
    <row r="1146" spans="4:27" s="66" customFormat="1">
      <c r="D1146" s="75"/>
      <c r="F1146" s="158"/>
      <c r="G1146" s="64"/>
      <c r="H1146" s="30"/>
      <c r="I1146" s="136"/>
      <c r="J1146" s="136"/>
      <c r="K1146" s="136"/>
      <c r="L1146" s="136"/>
      <c r="M1146" s="159"/>
      <c r="N1146" s="84"/>
      <c r="O1146" s="84"/>
      <c r="P1146" s="84"/>
      <c r="Q1146" s="84"/>
      <c r="R1146" s="84"/>
      <c r="S1146" s="159"/>
      <c r="T1146" s="159"/>
      <c r="U1146" s="159"/>
      <c r="V1146" s="159"/>
      <c r="W1146" s="159"/>
      <c r="X1146" s="159"/>
      <c r="AA1146" s="159"/>
    </row>
    <row r="1147" spans="4:27" s="66" customFormat="1">
      <c r="D1147" s="75"/>
      <c r="F1147" s="158"/>
      <c r="G1147" s="64"/>
      <c r="H1147" s="30"/>
      <c r="I1147" s="136"/>
      <c r="J1147" s="136"/>
      <c r="K1147" s="136"/>
      <c r="L1147" s="136"/>
      <c r="M1147" s="159"/>
      <c r="N1147" s="84"/>
      <c r="O1147" s="84"/>
      <c r="P1147" s="84"/>
      <c r="Q1147" s="84"/>
      <c r="R1147" s="84"/>
      <c r="S1147" s="159"/>
      <c r="T1147" s="159"/>
      <c r="U1147" s="159"/>
      <c r="V1147" s="159"/>
      <c r="W1147" s="159"/>
      <c r="X1147" s="159"/>
      <c r="AA1147" s="159"/>
    </row>
    <row r="1148" spans="4:27" s="66" customFormat="1">
      <c r="D1148" s="75"/>
      <c r="F1148" s="158"/>
      <c r="G1148" s="64"/>
      <c r="H1148" s="30"/>
      <c r="I1148" s="136"/>
      <c r="J1148" s="136"/>
      <c r="K1148" s="136"/>
      <c r="L1148" s="136"/>
      <c r="M1148" s="159"/>
      <c r="N1148" s="84"/>
      <c r="O1148" s="84"/>
      <c r="P1148" s="84"/>
      <c r="Q1148" s="84"/>
      <c r="R1148" s="84"/>
      <c r="S1148" s="159"/>
      <c r="T1148" s="159"/>
      <c r="U1148" s="159"/>
      <c r="V1148" s="159"/>
      <c r="W1148" s="159"/>
      <c r="X1148" s="159"/>
      <c r="AA1148" s="159"/>
    </row>
    <row r="1149" spans="4:27" s="66" customFormat="1">
      <c r="D1149" s="75"/>
      <c r="F1149" s="158"/>
      <c r="G1149" s="64"/>
      <c r="H1149" s="30"/>
      <c r="I1149" s="136"/>
      <c r="J1149" s="136"/>
      <c r="K1149" s="136"/>
      <c r="L1149" s="136"/>
      <c r="M1149" s="159"/>
      <c r="N1149" s="84"/>
      <c r="O1149" s="84"/>
      <c r="P1149" s="84"/>
      <c r="Q1149" s="84"/>
      <c r="R1149" s="84"/>
      <c r="S1149" s="159"/>
      <c r="T1149" s="159"/>
      <c r="U1149" s="159"/>
      <c r="V1149" s="159"/>
      <c r="W1149" s="159"/>
      <c r="X1149" s="159"/>
      <c r="AA1149" s="159"/>
    </row>
    <row r="1150" spans="4:27" s="66" customFormat="1">
      <c r="D1150" s="75"/>
      <c r="F1150" s="158"/>
      <c r="G1150" s="64"/>
      <c r="H1150" s="30"/>
      <c r="I1150" s="136"/>
      <c r="J1150" s="136"/>
      <c r="K1150" s="136"/>
      <c r="L1150" s="136"/>
      <c r="M1150" s="159"/>
      <c r="N1150" s="84"/>
      <c r="O1150" s="84"/>
      <c r="P1150" s="84"/>
      <c r="Q1150" s="84"/>
      <c r="R1150" s="84"/>
      <c r="S1150" s="159"/>
      <c r="T1150" s="159"/>
      <c r="U1150" s="159"/>
      <c r="V1150" s="159"/>
      <c r="W1150" s="159"/>
      <c r="X1150" s="159"/>
      <c r="AA1150" s="159"/>
    </row>
    <row r="1151" spans="4:27" s="66" customFormat="1">
      <c r="D1151" s="75"/>
      <c r="F1151" s="158"/>
      <c r="G1151" s="64"/>
      <c r="H1151" s="30"/>
      <c r="I1151" s="136"/>
      <c r="J1151" s="136"/>
      <c r="K1151" s="136"/>
      <c r="L1151" s="136"/>
      <c r="M1151" s="159"/>
      <c r="N1151" s="84"/>
      <c r="O1151" s="84"/>
      <c r="P1151" s="84"/>
      <c r="Q1151" s="84"/>
      <c r="R1151" s="84"/>
      <c r="S1151" s="159"/>
      <c r="T1151" s="159"/>
      <c r="U1151" s="159"/>
      <c r="V1151" s="159"/>
      <c r="W1151" s="159"/>
      <c r="X1151" s="159"/>
      <c r="AA1151" s="159"/>
    </row>
    <row r="1152" spans="4:27" s="66" customFormat="1">
      <c r="D1152" s="75"/>
      <c r="F1152" s="158"/>
      <c r="G1152" s="64"/>
      <c r="H1152" s="30"/>
      <c r="I1152" s="136"/>
      <c r="J1152" s="136"/>
      <c r="K1152" s="136"/>
      <c r="L1152" s="136"/>
      <c r="M1152" s="159"/>
      <c r="N1152" s="84"/>
      <c r="O1152" s="84"/>
      <c r="P1152" s="84"/>
      <c r="Q1152" s="84"/>
      <c r="R1152" s="84"/>
      <c r="S1152" s="159"/>
      <c r="T1152" s="159"/>
      <c r="U1152" s="159"/>
      <c r="V1152" s="159"/>
      <c r="W1152" s="159"/>
      <c r="X1152" s="159"/>
      <c r="AA1152" s="159"/>
    </row>
    <row r="1153" spans="4:27" s="66" customFormat="1">
      <c r="D1153" s="75"/>
      <c r="F1153" s="158"/>
      <c r="G1153" s="64"/>
      <c r="H1153" s="30"/>
      <c r="I1153" s="136"/>
      <c r="J1153" s="136"/>
      <c r="K1153" s="136"/>
      <c r="L1153" s="136"/>
      <c r="M1153" s="159"/>
      <c r="N1153" s="84"/>
      <c r="O1153" s="84"/>
      <c r="P1153" s="84"/>
      <c r="Q1153" s="84"/>
      <c r="R1153" s="84"/>
      <c r="S1153" s="159"/>
      <c r="T1153" s="159"/>
      <c r="U1153" s="159"/>
      <c r="V1153" s="159"/>
      <c r="W1153" s="159"/>
      <c r="X1153" s="159"/>
      <c r="AA1153" s="159"/>
    </row>
    <row r="1154" spans="4:27" s="66" customFormat="1">
      <c r="D1154" s="75"/>
      <c r="F1154" s="158"/>
      <c r="G1154" s="64"/>
      <c r="H1154" s="30"/>
      <c r="I1154" s="136"/>
      <c r="J1154" s="136"/>
      <c r="K1154" s="136"/>
      <c r="L1154" s="136"/>
      <c r="M1154" s="159"/>
      <c r="N1154" s="84"/>
      <c r="O1154" s="84"/>
      <c r="P1154" s="84"/>
      <c r="Q1154" s="84"/>
      <c r="R1154" s="84"/>
      <c r="S1154" s="159"/>
      <c r="T1154" s="159"/>
      <c r="U1154" s="159"/>
      <c r="V1154" s="159"/>
      <c r="W1154" s="159"/>
      <c r="X1154" s="159"/>
      <c r="AA1154" s="159"/>
    </row>
    <row r="1155" spans="4:27" s="66" customFormat="1">
      <c r="D1155" s="75"/>
      <c r="F1155" s="158"/>
      <c r="G1155" s="64"/>
      <c r="H1155" s="30"/>
      <c r="I1155" s="136"/>
      <c r="J1155" s="136"/>
      <c r="K1155" s="136"/>
      <c r="L1155" s="136"/>
      <c r="M1155" s="159"/>
      <c r="N1155" s="84"/>
      <c r="O1155" s="84"/>
      <c r="P1155" s="84"/>
      <c r="Q1155" s="84"/>
      <c r="R1155" s="84"/>
      <c r="S1155" s="159"/>
      <c r="T1155" s="159"/>
      <c r="U1155" s="159"/>
      <c r="V1155" s="159"/>
      <c r="W1155" s="159"/>
      <c r="X1155" s="159"/>
      <c r="AA1155" s="159"/>
    </row>
    <row r="1156" spans="4:27" s="66" customFormat="1">
      <c r="D1156" s="75"/>
      <c r="F1156" s="158"/>
      <c r="G1156" s="64"/>
      <c r="H1156" s="30"/>
      <c r="I1156" s="136"/>
      <c r="J1156" s="136"/>
      <c r="K1156" s="136"/>
      <c r="L1156" s="136"/>
      <c r="M1156" s="159"/>
      <c r="N1156" s="84"/>
      <c r="O1156" s="84"/>
      <c r="P1156" s="84"/>
      <c r="Q1156" s="84"/>
      <c r="R1156" s="84"/>
      <c r="S1156" s="159"/>
      <c r="T1156" s="159"/>
      <c r="U1156" s="159"/>
      <c r="V1156" s="159"/>
      <c r="W1156" s="159"/>
      <c r="X1156" s="159"/>
      <c r="AA1156" s="159"/>
    </row>
    <row r="1157" spans="4:27" s="66" customFormat="1">
      <c r="D1157" s="75"/>
      <c r="F1157" s="158"/>
      <c r="G1157" s="64"/>
      <c r="H1157" s="30"/>
      <c r="I1157" s="136"/>
      <c r="J1157" s="136"/>
      <c r="K1157" s="136"/>
      <c r="L1157" s="136"/>
      <c r="M1157" s="159"/>
      <c r="N1157" s="84"/>
      <c r="O1157" s="84"/>
      <c r="P1157" s="84"/>
      <c r="Q1157" s="84"/>
      <c r="R1157" s="84"/>
      <c r="S1157" s="159"/>
      <c r="T1157" s="159"/>
      <c r="U1157" s="159"/>
      <c r="V1157" s="159"/>
      <c r="W1157" s="159"/>
      <c r="X1157" s="159"/>
      <c r="AA1157" s="159"/>
    </row>
    <row r="1158" spans="4:27" s="66" customFormat="1">
      <c r="D1158" s="75"/>
      <c r="F1158" s="158"/>
      <c r="G1158" s="64"/>
      <c r="H1158" s="30"/>
      <c r="I1158" s="136"/>
      <c r="J1158" s="136"/>
      <c r="K1158" s="136"/>
      <c r="L1158" s="136"/>
      <c r="M1158" s="159"/>
      <c r="N1158" s="84"/>
      <c r="O1158" s="84"/>
      <c r="P1158" s="84"/>
      <c r="Q1158" s="84"/>
      <c r="R1158" s="84"/>
      <c r="S1158" s="159"/>
      <c r="T1158" s="159"/>
      <c r="U1158" s="159"/>
      <c r="V1158" s="159"/>
      <c r="W1158" s="159"/>
      <c r="X1158" s="159"/>
      <c r="AA1158" s="159"/>
    </row>
    <row r="1159" spans="4:27" s="66" customFormat="1">
      <c r="D1159" s="75"/>
      <c r="F1159" s="158"/>
      <c r="G1159" s="64"/>
      <c r="H1159" s="30"/>
      <c r="I1159" s="136"/>
      <c r="J1159" s="136"/>
      <c r="K1159" s="136"/>
      <c r="L1159" s="136"/>
      <c r="M1159" s="159"/>
      <c r="N1159" s="84"/>
      <c r="O1159" s="84"/>
      <c r="P1159" s="84"/>
      <c r="Q1159" s="84"/>
      <c r="R1159" s="84"/>
      <c r="S1159" s="159"/>
      <c r="T1159" s="159"/>
      <c r="U1159" s="159"/>
      <c r="V1159" s="159"/>
      <c r="W1159" s="159"/>
      <c r="X1159" s="159"/>
      <c r="AA1159" s="159"/>
    </row>
    <row r="1160" spans="4:27" s="66" customFormat="1">
      <c r="D1160" s="75"/>
      <c r="F1160" s="158"/>
      <c r="G1160" s="64"/>
      <c r="H1160" s="30"/>
      <c r="I1160" s="136"/>
      <c r="J1160" s="136"/>
      <c r="K1160" s="136"/>
      <c r="L1160" s="136"/>
      <c r="M1160" s="159"/>
      <c r="N1160" s="84"/>
      <c r="O1160" s="84"/>
      <c r="P1160" s="84"/>
      <c r="Q1160" s="84"/>
      <c r="R1160" s="84"/>
      <c r="S1160" s="159"/>
      <c r="T1160" s="159"/>
      <c r="U1160" s="159"/>
      <c r="V1160" s="159"/>
      <c r="W1160" s="159"/>
      <c r="X1160" s="159"/>
      <c r="AA1160" s="159"/>
    </row>
    <row r="1161" spans="4:27" s="66" customFormat="1">
      <c r="D1161" s="75"/>
      <c r="F1161" s="158"/>
      <c r="G1161" s="64"/>
      <c r="H1161" s="30"/>
      <c r="I1161" s="136"/>
      <c r="J1161" s="136"/>
      <c r="K1161" s="136"/>
      <c r="L1161" s="136"/>
      <c r="M1161" s="159"/>
      <c r="N1161" s="84"/>
      <c r="O1161" s="84"/>
      <c r="P1161" s="84"/>
      <c r="Q1161" s="84"/>
      <c r="R1161" s="84"/>
      <c r="S1161" s="159"/>
      <c r="T1161" s="159"/>
      <c r="U1161" s="159"/>
      <c r="V1161" s="159"/>
      <c r="W1161" s="159"/>
      <c r="X1161" s="159"/>
      <c r="AA1161" s="159"/>
    </row>
    <row r="1162" spans="4:27" s="66" customFormat="1">
      <c r="D1162" s="75"/>
      <c r="F1162" s="158"/>
      <c r="G1162" s="64"/>
      <c r="H1162" s="30"/>
      <c r="I1162" s="136"/>
      <c r="J1162" s="136"/>
      <c r="K1162" s="136"/>
      <c r="L1162" s="136"/>
      <c r="M1162" s="159"/>
      <c r="N1162" s="84"/>
      <c r="O1162" s="84"/>
      <c r="P1162" s="84"/>
      <c r="Q1162" s="84"/>
      <c r="R1162" s="84"/>
      <c r="S1162" s="159"/>
      <c r="T1162" s="159"/>
      <c r="U1162" s="159"/>
      <c r="V1162" s="159"/>
      <c r="W1162" s="159"/>
      <c r="X1162" s="159"/>
      <c r="AA1162" s="159"/>
    </row>
    <row r="1163" spans="4:27" s="66" customFormat="1">
      <c r="D1163" s="75"/>
      <c r="F1163" s="158"/>
      <c r="G1163" s="64"/>
      <c r="H1163" s="30"/>
      <c r="I1163" s="136"/>
      <c r="J1163" s="136"/>
      <c r="K1163" s="136"/>
      <c r="L1163" s="136"/>
      <c r="M1163" s="159"/>
      <c r="N1163" s="84"/>
      <c r="O1163" s="84"/>
      <c r="P1163" s="84"/>
      <c r="Q1163" s="84"/>
      <c r="R1163" s="84"/>
      <c r="S1163" s="159"/>
      <c r="T1163" s="159"/>
      <c r="U1163" s="159"/>
      <c r="V1163" s="159"/>
      <c r="W1163" s="159"/>
      <c r="X1163" s="159"/>
      <c r="AA1163" s="159"/>
    </row>
    <row r="1164" spans="4:27" s="66" customFormat="1">
      <c r="D1164" s="75"/>
      <c r="F1164" s="158"/>
      <c r="G1164" s="64"/>
      <c r="H1164" s="30"/>
      <c r="I1164" s="136"/>
      <c r="J1164" s="136"/>
      <c r="K1164" s="136"/>
      <c r="L1164" s="136"/>
      <c r="M1164" s="159"/>
      <c r="N1164" s="84"/>
      <c r="O1164" s="84"/>
      <c r="P1164" s="84"/>
      <c r="Q1164" s="84"/>
      <c r="R1164" s="84"/>
      <c r="S1164" s="159"/>
      <c r="T1164" s="159"/>
      <c r="U1164" s="159"/>
      <c r="V1164" s="159"/>
      <c r="W1164" s="159"/>
      <c r="X1164" s="159"/>
      <c r="AA1164" s="159"/>
    </row>
    <row r="1165" spans="4:27" s="66" customFormat="1">
      <c r="D1165" s="75"/>
      <c r="F1165" s="158"/>
      <c r="G1165" s="64"/>
      <c r="H1165" s="30"/>
      <c r="I1165" s="136"/>
      <c r="J1165" s="136"/>
      <c r="K1165" s="136"/>
      <c r="L1165" s="136"/>
      <c r="M1165" s="159"/>
      <c r="N1165" s="84"/>
      <c r="O1165" s="84"/>
      <c r="P1165" s="84"/>
      <c r="Q1165" s="84"/>
      <c r="R1165" s="84"/>
      <c r="S1165" s="159"/>
      <c r="T1165" s="159"/>
      <c r="U1165" s="159"/>
      <c r="V1165" s="159"/>
      <c r="W1165" s="159"/>
      <c r="X1165" s="159"/>
      <c r="AA1165" s="159"/>
    </row>
    <row r="1166" spans="4:27" s="66" customFormat="1">
      <c r="D1166" s="75"/>
      <c r="F1166" s="158"/>
      <c r="G1166" s="64"/>
      <c r="H1166" s="30"/>
      <c r="I1166" s="136"/>
      <c r="J1166" s="136"/>
      <c r="K1166" s="136"/>
      <c r="L1166" s="136"/>
      <c r="M1166" s="159"/>
      <c r="N1166" s="84"/>
      <c r="O1166" s="84"/>
      <c r="P1166" s="84"/>
      <c r="Q1166" s="84"/>
      <c r="R1166" s="84"/>
      <c r="S1166" s="159"/>
      <c r="T1166" s="159"/>
      <c r="U1166" s="159"/>
      <c r="V1166" s="159"/>
      <c r="W1166" s="159"/>
      <c r="X1166" s="159"/>
      <c r="AA1166" s="159"/>
    </row>
    <row r="1167" spans="4:27" s="66" customFormat="1">
      <c r="D1167" s="75"/>
      <c r="F1167" s="158"/>
      <c r="G1167" s="64"/>
      <c r="H1167" s="30"/>
      <c r="I1167" s="136"/>
      <c r="J1167" s="136"/>
      <c r="K1167" s="136"/>
      <c r="L1167" s="136"/>
      <c r="M1167" s="159"/>
      <c r="N1167" s="84"/>
      <c r="O1167" s="84"/>
      <c r="P1167" s="84"/>
      <c r="Q1167" s="84"/>
      <c r="R1167" s="84"/>
      <c r="S1167" s="159"/>
      <c r="T1167" s="159"/>
      <c r="U1167" s="159"/>
      <c r="V1167" s="159"/>
      <c r="W1167" s="159"/>
      <c r="X1167" s="159"/>
      <c r="AA1167" s="159"/>
    </row>
    <row r="1168" spans="4:27" s="66" customFormat="1">
      <c r="D1168" s="75"/>
      <c r="F1168" s="158"/>
      <c r="G1168" s="64"/>
      <c r="H1168" s="30"/>
      <c r="I1168" s="136"/>
      <c r="J1168" s="136"/>
      <c r="K1168" s="136"/>
      <c r="L1168" s="136"/>
      <c r="M1168" s="159"/>
      <c r="N1168" s="84"/>
      <c r="O1168" s="84"/>
      <c r="P1168" s="84"/>
      <c r="Q1168" s="84"/>
      <c r="R1168" s="84"/>
      <c r="S1168" s="159"/>
      <c r="T1168" s="159"/>
      <c r="U1168" s="159"/>
      <c r="V1168" s="159"/>
      <c r="W1168" s="159"/>
      <c r="X1168" s="159"/>
      <c r="AA1168" s="159"/>
    </row>
    <row r="1169" spans="4:27" s="66" customFormat="1">
      <c r="D1169" s="75"/>
      <c r="F1169" s="158"/>
      <c r="G1169" s="64"/>
      <c r="H1169" s="30"/>
      <c r="I1169" s="136"/>
      <c r="J1169" s="136"/>
      <c r="K1169" s="136"/>
      <c r="L1169" s="136"/>
      <c r="M1169" s="159"/>
      <c r="N1169" s="84"/>
      <c r="O1169" s="84"/>
      <c r="P1169" s="84"/>
      <c r="Q1169" s="84"/>
      <c r="R1169" s="84"/>
      <c r="S1169" s="159"/>
      <c r="T1169" s="159"/>
      <c r="U1169" s="159"/>
      <c r="V1169" s="159"/>
      <c r="W1169" s="159"/>
      <c r="X1169" s="159"/>
      <c r="AA1169" s="159"/>
    </row>
    <row r="1170" spans="4:27" s="66" customFormat="1">
      <c r="D1170" s="75"/>
      <c r="F1170" s="158"/>
      <c r="G1170" s="64"/>
      <c r="H1170" s="30"/>
      <c r="I1170" s="136"/>
      <c r="J1170" s="136"/>
      <c r="K1170" s="136"/>
      <c r="L1170" s="136"/>
      <c r="M1170" s="159"/>
      <c r="N1170" s="84"/>
      <c r="O1170" s="84"/>
      <c r="P1170" s="84"/>
      <c r="Q1170" s="84"/>
      <c r="R1170" s="84"/>
      <c r="S1170" s="159"/>
      <c r="T1170" s="159"/>
      <c r="U1170" s="159"/>
      <c r="V1170" s="159"/>
      <c r="W1170" s="159"/>
      <c r="X1170" s="159"/>
      <c r="AA1170" s="159"/>
    </row>
    <row r="1171" spans="4:27" s="66" customFormat="1">
      <c r="D1171" s="75"/>
      <c r="F1171" s="158"/>
      <c r="G1171" s="64"/>
      <c r="H1171" s="30"/>
      <c r="I1171" s="136"/>
      <c r="J1171" s="136"/>
      <c r="K1171" s="136"/>
      <c r="L1171" s="136"/>
      <c r="M1171" s="159"/>
      <c r="N1171" s="84"/>
      <c r="O1171" s="84"/>
      <c r="P1171" s="84"/>
      <c r="Q1171" s="84"/>
      <c r="R1171" s="84"/>
      <c r="S1171" s="159"/>
      <c r="T1171" s="159"/>
      <c r="U1171" s="159"/>
      <c r="V1171" s="159"/>
      <c r="W1171" s="159"/>
      <c r="X1171" s="159"/>
      <c r="AA1171" s="159"/>
    </row>
    <row r="1172" spans="4:27" s="66" customFormat="1">
      <c r="D1172" s="75"/>
      <c r="F1172" s="158"/>
      <c r="G1172" s="64"/>
      <c r="H1172" s="30"/>
      <c r="I1172" s="136"/>
      <c r="J1172" s="136"/>
      <c r="K1172" s="136"/>
      <c r="L1172" s="136"/>
      <c r="M1172" s="159"/>
      <c r="N1172" s="84"/>
      <c r="O1172" s="84"/>
      <c r="P1172" s="84"/>
      <c r="Q1172" s="84"/>
      <c r="R1172" s="84"/>
      <c r="S1172" s="159"/>
      <c r="T1172" s="159"/>
      <c r="U1172" s="159"/>
      <c r="V1172" s="159"/>
      <c r="W1172" s="159"/>
      <c r="X1172" s="159"/>
      <c r="AA1172" s="159"/>
    </row>
    <row r="1173" spans="4:27" s="66" customFormat="1">
      <c r="D1173" s="75"/>
      <c r="F1173" s="158"/>
      <c r="G1173" s="64"/>
      <c r="H1173" s="30"/>
      <c r="I1173" s="136"/>
      <c r="J1173" s="136"/>
      <c r="K1173" s="136"/>
      <c r="L1173" s="136"/>
      <c r="M1173" s="159"/>
      <c r="N1173" s="84"/>
      <c r="O1173" s="84"/>
      <c r="P1173" s="84"/>
      <c r="Q1173" s="84"/>
      <c r="R1173" s="84"/>
      <c r="S1173" s="159"/>
      <c r="T1173" s="159"/>
      <c r="U1173" s="159"/>
      <c r="V1173" s="159"/>
      <c r="W1173" s="159"/>
      <c r="X1173" s="159"/>
      <c r="AA1173" s="159"/>
    </row>
    <row r="1174" spans="4:27" s="66" customFormat="1">
      <c r="D1174" s="75"/>
      <c r="F1174" s="158"/>
      <c r="G1174" s="64"/>
      <c r="H1174" s="30"/>
      <c r="I1174" s="136"/>
      <c r="J1174" s="136"/>
      <c r="K1174" s="136"/>
      <c r="L1174" s="136"/>
      <c r="M1174" s="159"/>
      <c r="N1174" s="84"/>
      <c r="O1174" s="84"/>
      <c r="P1174" s="84"/>
      <c r="Q1174" s="84"/>
      <c r="R1174" s="84"/>
      <c r="S1174" s="159"/>
      <c r="T1174" s="159"/>
      <c r="U1174" s="159"/>
      <c r="V1174" s="159"/>
      <c r="W1174" s="159"/>
      <c r="X1174" s="159"/>
      <c r="AA1174" s="159"/>
    </row>
    <row r="1175" spans="4:27" s="66" customFormat="1">
      <c r="D1175" s="75"/>
      <c r="F1175" s="158"/>
      <c r="G1175" s="64"/>
      <c r="H1175" s="30"/>
      <c r="I1175" s="136"/>
      <c r="J1175" s="136"/>
      <c r="K1175" s="136"/>
      <c r="L1175" s="136"/>
      <c r="M1175" s="159"/>
      <c r="N1175" s="84"/>
      <c r="O1175" s="84"/>
      <c r="P1175" s="84"/>
      <c r="Q1175" s="84"/>
      <c r="R1175" s="84"/>
      <c r="S1175" s="159"/>
      <c r="T1175" s="159"/>
      <c r="U1175" s="159"/>
      <c r="V1175" s="159"/>
      <c r="W1175" s="159"/>
      <c r="X1175" s="159"/>
      <c r="AA1175" s="159"/>
    </row>
    <row r="1176" spans="4:27" s="66" customFormat="1">
      <c r="D1176" s="75"/>
      <c r="F1176" s="158"/>
      <c r="G1176" s="64"/>
      <c r="H1176" s="30"/>
      <c r="I1176" s="136"/>
      <c r="J1176" s="136"/>
      <c r="K1176" s="136"/>
      <c r="L1176" s="136"/>
      <c r="M1176" s="159"/>
      <c r="N1176" s="84"/>
      <c r="O1176" s="84"/>
      <c r="P1176" s="84"/>
      <c r="Q1176" s="84"/>
      <c r="R1176" s="84"/>
      <c r="S1176" s="159"/>
      <c r="T1176" s="159"/>
      <c r="U1176" s="159"/>
      <c r="V1176" s="159"/>
      <c r="W1176" s="159"/>
      <c r="X1176" s="159"/>
      <c r="AA1176" s="159"/>
    </row>
    <row r="1177" spans="4:27" s="66" customFormat="1">
      <c r="D1177" s="75"/>
      <c r="F1177" s="158"/>
      <c r="G1177" s="64"/>
      <c r="H1177" s="30"/>
      <c r="I1177" s="136"/>
      <c r="J1177" s="136"/>
      <c r="K1177" s="136"/>
      <c r="L1177" s="136"/>
      <c r="M1177" s="159"/>
      <c r="N1177" s="84"/>
      <c r="O1177" s="84"/>
      <c r="P1177" s="84"/>
      <c r="Q1177" s="84"/>
      <c r="R1177" s="84"/>
      <c r="S1177" s="159"/>
      <c r="T1177" s="159"/>
      <c r="U1177" s="159"/>
      <c r="V1177" s="159"/>
      <c r="W1177" s="159"/>
      <c r="X1177" s="159"/>
      <c r="AA1177" s="159"/>
    </row>
    <row r="1178" spans="4:27" s="66" customFormat="1">
      <c r="D1178" s="75"/>
      <c r="F1178" s="158"/>
      <c r="G1178" s="64"/>
      <c r="H1178" s="30"/>
      <c r="I1178" s="136"/>
      <c r="J1178" s="136"/>
      <c r="K1178" s="136"/>
      <c r="L1178" s="136"/>
      <c r="M1178" s="159"/>
      <c r="N1178" s="84"/>
      <c r="O1178" s="84"/>
      <c r="P1178" s="84"/>
      <c r="Q1178" s="84"/>
      <c r="R1178" s="84"/>
      <c r="S1178" s="159"/>
      <c r="T1178" s="159"/>
      <c r="U1178" s="159"/>
      <c r="V1178" s="159"/>
      <c r="W1178" s="159"/>
      <c r="X1178" s="159"/>
      <c r="AA1178" s="159"/>
    </row>
    <row r="1179" spans="4:27" s="66" customFormat="1">
      <c r="D1179" s="75"/>
      <c r="F1179" s="158"/>
      <c r="G1179" s="64"/>
      <c r="H1179" s="30"/>
      <c r="I1179" s="136"/>
      <c r="J1179" s="136"/>
      <c r="K1179" s="136"/>
      <c r="L1179" s="136"/>
      <c r="M1179" s="159"/>
      <c r="N1179" s="84"/>
      <c r="O1179" s="84"/>
      <c r="P1179" s="84"/>
      <c r="Q1179" s="84"/>
      <c r="R1179" s="84"/>
      <c r="S1179" s="159"/>
      <c r="T1179" s="159"/>
      <c r="U1179" s="159"/>
      <c r="V1179" s="159"/>
      <c r="W1179" s="159"/>
      <c r="X1179" s="159"/>
      <c r="AA1179" s="159"/>
    </row>
    <row r="1180" spans="4:27" s="66" customFormat="1">
      <c r="D1180" s="75"/>
      <c r="F1180" s="158"/>
      <c r="G1180" s="64"/>
      <c r="H1180" s="30"/>
      <c r="I1180" s="136"/>
      <c r="J1180" s="136"/>
      <c r="K1180" s="136"/>
      <c r="L1180" s="136"/>
      <c r="M1180" s="159"/>
      <c r="N1180" s="84"/>
      <c r="O1180" s="84"/>
      <c r="P1180" s="84"/>
      <c r="Q1180" s="84"/>
      <c r="R1180" s="84"/>
      <c r="S1180" s="159"/>
      <c r="T1180" s="159"/>
      <c r="U1180" s="159"/>
      <c r="V1180" s="159"/>
      <c r="W1180" s="159"/>
      <c r="X1180" s="159"/>
      <c r="AA1180" s="159"/>
    </row>
    <row r="1181" spans="4:27" s="66" customFormat="1">
      <c r="D1181" s="75"/>
      <c r="F1181" s="158"/>
      <c r="G1181" s="64"/>
      <c r="H1181" s="30"/>
      <c r="I1181" s="136"/>
      <c r="J1181" s="136"/>
      <c r="K1181" s="136"/>
      <c r="L1181" s="136"/>
      <c r="M1181" s="159"/>
      <c r="N1181" s="84"/>
      <c r="O1181" s="84"/>
      <c r="P1181" s="84"/>
      <c r="Q1181" s="84"/>
      <c r="R1181" s="84"/>
      <c r="S1181" s="159"/>
      <c r="T1181" s="159"/>
      <c r="U1181" s="159"/>
      <c r="V1181" s="159"/>
      <c r="W1181" s="159"/>
      <c r="X1181" s="159"/>
      <c r="AA1181" s="159"/>
    </row>
    <row r="1182" spans="4:27" s="66" customFormat="1">
      <c r="D1182" s="75"/>
      <c r="F1182" s="158"/>
      <c r="G1182" s="64"/>
      <c r="H1182" s="30"/>
      <c r="I1182" s="136"/>
      <c r="J1182" s="136"/>
      <c r="K1182" s="136"/>
      <c r="L1182" s="136"/>
      <c r="M1182" s="159"/>
      <c r="N1182" s="84"/>
      <c r="O1182" s="84"/>
      <c r="P1182" s="84"/>
      <c r="Q1182" s="84"/>
      <c r="R1182" s="84"/>
      <c r="S1182" s="159"/>
      <c r="T1182" s="159"/>
      <c r="U1182" s="159"/>
      <c r="V1182" s="159"/>
      <c r="W1182" s="159"/>
      <c r="X1182" s="159"/>
      <c r="AA1182" s="159"/>
    </row>
    <row r="1183" spans="4:27" s="66" customFormat="1">
      <c r="D1183" s="75"/>
      <c r="F1183" s="158"/>
      <c r="G1183" s="64"/>
      <c r="H1183" s="30"/>
      <c r="I1183" s="136"/>
      <c r="J1183" s="136"/>
      <c r="K1183" s="136"/>
      <c r="L1183" s="136"/>
      <c r="M1183" s="159"/>
      <c r="N1183" s="84"/>
      <c r="O1183" s="84"/>
      <c r="P1183" s="84"/>
      <c r="Q1183" s="84"/>
      <c r="R1183" s="84"/>
      <c r="S1183" s="159"/>
      <c r="T1183" s="159"/>
      <c r="U1183" s="159"/>
      <c r="V1183" s="159"/>
      <c r="W1183" s="159"/>
      <c r="X1183" s="159"/>
      <c r="AA1183" s="159"/>
    </row>
    <row r="1184" spans="4:27" s="66" customFormat="1">
      <c r="D1184" s="75"/>
      <c r="F1184" s="158"/>
      <c r="G1184" s="64"/>
      <c r="H1184" s="30"/>
      <c r="I1184" s="136"/>
      <c r="J1184" s="136"/>
      <c r="K1184" s="136"/>
      <c r="L1184" s="136"/>
      <c r="M1184" s="159"/>
      <c r="N1184" s="84"/>
      <c r="O1184" s="84"/>
      <c r="P1184" s="84"/>
      <c r="Q1184" s="84"/>
      <c r="R1184" s="84"/>
      <c r="S1184" s="159"/>
      <c r="T1184" s="159"/>
      <c r="U1184" s="159"/>
      <c r="V1184" s="159"/>
      <c r="W1184" s="159"/>
      <c r="X1184" s="159"/>
      <c r="AA1184" s="159"/>
    </row>
    <row r="1185" spans="4:27" s="66" customFormat="1">
      <c r="D1185" s="75"/>
      <c r="F1185" s="158"/>
      <c r="G1185" s="64"/>
      <c r="H1185" s="30"/>
      <c r="I1185" s="136"/>
      <c r="J1185" s="136"/>
      <c r="K1185" s="136"/>
      <c r="L1185" s="136"/>
      <c r="M1185" s="159"/>
      <c r="N1185" s="84"/>
      <c r="O1185" s="84"/>
      <c r="P1185" s="84"/>
      <c r="Q1185" s="84"/>
      <c r="R1185" s="84"/>
      <c r="S1185" s="159"/>
      <c r="T1185" s="159"/>
      <c r="U1185" s="159"/>
      <c r="V1185" s="159"/>
      <c r="W1185" s="159"/>
      <c r="X1185" s="159"/>
      <c r="AA1185" s="159"/>
    </row>
    <row r="1186" spans="4:27" s="66" customFormat="1">
      <c r="D1186" s="75"/>
      <c r="F1186" s="158"/>
      <c r="G1186" s="64"/>
      <c r="H1186" s="30"/>
      <c r="I1186" s="136"/>
      <c r="J1186" s="136"/>
      <c r="K1186" s="136"/>
      <c r="L1186" s="136"/>
      <c r="M1186" s="159"/>
      <c r="N1186" s="84"/>
      <c r="O1186" s="84"/>
      <c r="P1186" s="84"/>
      <c r="Q1186" s="84"/>
      <c r="R1186" s="84"/>
      <c r="S1186" s="159"/>
      <c r="T1186" s="159"/>
      <c r="U1186" s="159"/>
      <c r="V1186" s="159"/>
      <c r="W1186" s="159"/>
      <c r="X1186" s="159"/>
      <c r="AA1186" s="159"/>
    </row>
    <row r="1187" spans="4:27" s="66" customFormat="1">
      <c r="D1187" s="75"/>
      <c r="F1187" s="158"/>
      <c r="G1187" s="64"/>
      <c r="H1187" s="30"/>
      <c r="I1187" s="136"/>
      <c r="J1187" s="136"/>
      <c r="K1187" s="136"/>
      <c r="L1187" s="136"/>
      <c r="M1187" s="159"/>
      <c r="N1187" s="84"/>
      <c r="O1187" s="84"/>
      <c r="P1187" s="84"/>
      <c r="Q1187" s="84"/>
      <c r="R1187" s="84"/>
      <c r="S1187" s="159"/>
      <c r="T1187" s="159"/>
      <c r="U1187" s="159"/>
      <c r="V1187" s="159"/>
      <c r="W1187" s="159"/>
      <c r="X1187" s="159"/>
      <c r="AA1187" s="159"/>
    </row>
    <row r="1188" spans="4:27" s="66" customFormat="1">
      <c r="D1188" s="75"/>
      <c r="F1188" s="158"/>
      <c r="G1188" s="64"/>
      <c r="H1188" s="30"/>
      <c r="I1188" s="136"/>
      <c r="J1188" s="136"/>
      <c r="K1188" s="136"/>
      <c r="L1188" s="136"/>
      <c r="M1188" s="159"/>
      <c r="N1188" s="84"/>
      <c r="O1188" s="84"/>
      <c r="P1188" s="84"/>
      <c r="Q1188" s="84"/>
      <c r="R1188" s="84"/>
      <c r="S1188" s="159"/>
      <c r="T1188" s="159"/>
      <c r="U1188" s="159"/>
      <c r="V1188" s="159"/>
      <c r="W1188" s="159"/>
      <c r="X1188" s="159"/>
      <c r="AA1188" s="159"/>
    </row>
    <row r="1189" spans="4:27" s="66" customFormat="1">
      <c r="D1189" s="75"/>
      <c r="F1189" s="158"/>
      <c r="G1189" s="64"/>
      <c r="H1189" s="30"/>
      <c r="I1189" s="136"/>
      <c r="J1189" s="136"/>
      <c r="K1189" s="136"/>
      <c r="L1189" s="136"/>
      <c r="M1189" s="159"/>
      <c r="N1189" s="84"/>
      <c r="O1189" s="84"/>
      <c r="P1189" s="84"/>
      <c r="Q1189" s="84"/>
      <c r="R1189" s="84"/>
      <c r="S1189" s="159"/>
      <c r="T1189" s="159"/>
      <c r="U1189" s="159"/>
      <c r="V1189" s="159"/>
      <c r="W1189" s="159"/>
      <c r="X1189" s="159"/>
      <c r="AA1189" s="159"/>
    </row>
    <row r="1190" spans="4:27" s="66" customFormat="1">
      <c r="D1190" s="75"/>
      <c r="F1190" s="158"/>
      <c r="G1190" s="64"/>
      <c r="H1190" s="30"/>
      <c r="I1190" s="136"/>
      <c r="J1190" s="136"/>
      <c r="K1190" s="136"/>
      <c r="L1190" s="136"/>
      <c r="M1190" s="159"/>
      <c r="N1190" s="84"/>
      <c r="O1190" s="84"/>
      <c r="P1190" s="84"/>
      <c r="Q1190" s="84"/>
      <c r="R1190" s="84"/>
      <c r="S1190" s="159"/>
      <c r="T1190" s="159"/>
      <c r="U1190" s="159"/>
      <c r="V1190" s="159"/>
      <c r="W1190" s="159"/>
      <c r="X1190" s="159"/>
      <c r="AA1190" s="159"/>
    </row>
    <row r="1191" spans="4:27" s="66" customFormat="1">
      <c r="D1191" s="75"/>
      <c r="F1191" s="158"/>
      <c r="G1191" s="64"/>
      <c r="H1191" s="30"/>
      <c r="I1191" s="136"/>
      <c r="J1191" s="136"/>
      <c r="K1191" s="136"/>
      <c r="L1191" s="136"/>
      <c r="M1191" s="159"/>
      <c r="N1191" s="84"/>
      <c r="O1191" s="84"/>
      <c r="P1191" s="84"/>
      <c r="Q1191" s="84"/>
      <c r="R1191" s="84"/>
      <c r="S1191" s="159"/>
      <c r="T1191" s="159"/>
      <c r="U1191" s="159"/>
      <c r="V1191" s="159"/>
      <c r="W1191" s="159"/>
      <c r="X1191" s="159"/>
      <c r="AA1191" s="159"/>
    </row>
    <row r="1192" spans="4:27" s="66" customFormat="1">
      <c r="D1192" s="75"/>
      <c r="F1192" s="158"/>
      <c r="G1192" s="64"/>
      <c r="H1192" s="30"/>
      <c r="I1192" s="136"/>
      <c r="J1192" s="136"/>
      <c r="K1192" s="136"/>
      <c r="L1192" s="136"/>
      <c r="M1192" s="159"/>
      <c r="N1192" s="84"/>
      <c r="O1192" s="84"/>
      <c r="P1192" s="84"/>
      <c r="Q1192" s="84"/>
      <c r="R1192" s="84"/>
      <c r="S1192" s="159"/>
      <c r="T1192" s="159"/>
      <c r="U1192" s="159"/>
      <c r="V1192" s="159"/>
      <c r="W1192" s="159"/>
      <c r="X1192" s="159"/>
      <c r="AA1192" s="159"/>
    </row>
    <row r="1193" spans="4:27" s="66" customFormat="1">
      <c r="D1193" s="75"/>
      <c r="F1193" s="158"/>
      <c r="G1193" s="64"/>
      <c r="H1193" s="30"/>
      <c r="I1193" s="136"/>
      <c r="J1193" s="136"/>
      <c r="K1193" s="136"/>
      <c r="L1193" s="136"/>
      <c r="M1193" s="159"/>
      <c r="N1193" s="84"/>
      <c r="O1193" s="84"/>
      <c r="P1193" s="84"/>
      <c r="Q1193" s="84"/>
      <c r="R1193" s="84"/>
      <c r="S1193" s="159"/>
      <c r="T1193" s="159"/>
      <c r="U1193" s="159"/>
      <c r="V1193" s="159"/>
      <c r="W1193" s="159"/>
      <c r="X1193" s="159"/>
      <c r="AA1193" s="159"/>
    </row>
    <row r="1194" spans="4:27" s="66" customFormat="1">
      <c r="D1194" s="75"/>
      <c r="F1194" s="158"/>
      <c r="G1194" s="64"/>
      <c r="H1194" s="30"/>
      <c r="I1194" s="136"/>
      <c r="J1194" s="136"/>
      <c r="K1194" s="136"/>
      <c r="L1194" s="136"/>
      <c r="M1194" s="159"/>
      <c r="N1194" s="84"/>
      <c r="O1194" s="84"/>
      <c r="P1194" s="84"/>
      <c r="Q1194" s="84"/>
      <c r="R1194" s="84"/>
      <c r="S1194" s="159"/>
      <c r="T1194" s="159"/>
      <c r="U1194" s="159"/>
      <c r="V1194" s="159"/>
      <c r="W1194" s="159"/>
      <c r="X1194" s="159"/>
      <c r="AA1194" s="159"/>
    </row>
    <row r="1195" spans="4:27" s="66" customFormat="1">
      <c r="D1195" s="75"/>
      <c r="F1195" s="158"/>
      <c r="G1195" s="64"/>
      <c r="H1195" s="30"/>
      <c r="I1195" s="136"/>
      <c r="J1195" s="136"/>
      <c r="K1195" s="136"/>
      <c r="L1195" s="136"/>
      <c r="M1195" s="159"/>
      <c r="N1195" s="84"/>
      <c r="O1195" s="84"/>
      <c r="P1195" s="84"/>
      <c r="Q1195" s="84"/>
      <c r="R1195" s="84"/>
      <c r="S1195" s="159"/>
      <c r="T1195" s="159"/>
      <c r="U1195" s="159"/>
      <c r="V1195" s="159"/>
      <c r="W1195" s="159"/>
      <c r="X1195" s="159"/>
      <c r="AA1195" s="159"/>
    </row>
    <row r="1196" spans="4:27" s="66" customFormat="1">
      <c r="D1196" s="75"/>
      <c r="F1196" s="158"/>
      <c r="G1196" s="64"/>
      <c r="H1196" s="30"/>
      <c r="I1196" s="136"/>
      <c r="J1196" s="136"/>
      <c r="K1196" s="136"/>
      <c r="L1196" s="136"/>
      <c r="M1196" s="159"/>
      <c r="N1196" s="84"/>
      <c r="O1196" s="84"/>
      <c r="P1196" s="84"/>
      <c r="Q1196" s="84"/>
      <c r="R1196" s="84"/>
      <c r="S1196" s="159"/>
      <c r="T1196" s="159"/>
      <c r="U1196" s="159"/>
      <c r="V1196" s="159"/>
      <c r="W1196" s="159"/>
      <c r="X1196" s="159"/>
      <c r="AA1196" s="159"/>
    </row>
    <row r="1197" spans="4:27" s="66" customFormat="1">
      <c r="D1197" s="75"/>
      <c r="F1197" s="158"/>
      <c r="G1197" s="64"/>
      <c r="H1197" s="30"/>
      <c r="I1197" s="136"/>
      <c r="J1197" s="136"/>
      <c r="K1197" s="136"/>
      <c r="L1197" s="136"/>
      <c r="M1197" s="159"/>
      <c r="N1197" s="84"/>
      <c r="O1197" s="84"/>
      <c r="P1197" s="84"/>
      <c r="Q1197" s="84"/>
      <c r="R1197" s="84"/>
      <c r="S1197" s="159"/>
      <c r="T1197" s="159"/>
      <c r="U1197" s="159"/>
      <c r="V1197" s="159"/>
      <c r="W1197" s="159"/>
      <c r="X1197" s="159"/>
      <c r="AA1197" s="159"/>
    </row>
    <row r="1198" spans="4:27" s="66" customFormat="1">
      <c r="D1198" s="75"/>
      <c r="F1198" s="158"/>
      <c r="G1198" s="64"/>
      <c r="H1198" s="30"/>
      <c r="I1198" s="136"/>
      <c r="J1198" s="136"/>
      <c r="K1198" s="136"/>
      <c r="L1198" s="136"/>
      <c r="M1198" s="159"/>
      <c r="N1198" s="84"/>
      <c r="O1198" s="84"/>
      <c r="P1198" s="84"/>
      <c r="Q1198" s="84"/>
      <c r="R1198" s="84"/>
      <c r="S1198" s="159"/>
      <c r="T1198" s="159"/>
      <c r="U1198" s="159"/>
      <c r="V1198" s="159"/>
      <c r="W1198" s="159"/>
      <c r="X1198" s="159"/>
      <c r="AA1198" s="159"/>
    </row>
    <row r="1199" spans="4:27" s="66" customFormat="1">
      <c r="D1199" s="75"/>
      <c r="F1199" s="158"/>
      <c r="G1199" s="64"/>
      <c r="H1199" s="30"/>
      <c r="I1199" s="136"/>
      <c r="J1199" s="136"/>
      <c r="K1199" s="136"/>
      <c r="L1199" s="136"/>
      <c r="M1199" s="159"/>
      <c r="N1199" s="84"/>
      <c r="O1199" s="84"/>
      <c r="P1199" s="84"/>
      <c r="Q1199" s="84"/>
      <c r="R1199" s="84"/>
      <c r="S1199" s="159"/>
      <c r="T1199" s="159"/>
      <c r="U1199" s="159"/>
      <c r="V1199" s="159"/>
      <c r="W1199" s="159"/>
      <c r="X1199" s="159"/>
      <c r="AA1199" s="159"/>
    </row>
    <row r="1200" spans="4:27" s="66" customFormat="1">
      <c r="D1200" s="75"/>
      <c r="F1200" s="158"/>
      <c r="G1200" s="64"/>
      <c r="H1200" s="30"/>
      <c r="I1200" s="136"/>
      <c r="J1200" s="136"/>
      <c r="K1200" s="136"/>
      <c r="L1200" s="136"/>
      <c r="M1200" s="159"/>
      <c r="N1200" s="84"/>
      <c r="O1200" s="84"/>
      <c r="P1200" s="84"/>
      <c r="Q1200" s="84"/>
      <c r="R1200" s="84"/>
      <c r="S1200" s="159"/>
      <c r="T1200" s="159"/>
      <c r="U1200" s="159"/>
      <c r="V1200" s="159"/>
      <c r="W1200" s="159"/>
      <c r="X1200" s="159"/>
      <c r="AA1200" s="159"/>
    </row>
    <row r="1201" spans="4:27" s="66" customFormat="1">
      <c r="D1201" s="75"/>
      <c r="F1201" s="158"/>
      <c r="G1201" s="64"/>
      <c r="H1201" s="30"/>
      <c r="I1201" s="136"/>
      <c r="J1201" s="136"/>
      <c r="K1201" s="136"/>
      <c r="L1201" s="136"/>
      <c r="M1201" s="159"/>
      <c r="N1201" s="84"/>
      <c r="O1201" s="84"/>
      <c r="P1201" s="84"/>
      <c r="Q1201" s="84"/>
      <c r="R1201" s="84"/>
      <c r="S1201" s="159"/>
      <c r="T1201" s="159"/>
      <c r="U1201" s="159"/>
      <c r="V1201" s="159"/>
      <c r="W1201" s="159"/>
      <c r="X1201" s="159"/>
      <c r="AA1201" s="159"/>
    </row>
    <row r="1202" spans="4:27" s="66" customFormat="1">
      <c r="D1202" s="75"/>
      <c r="F1202" s="158"/>
      <c r="G1202" s="64"/>
      <c r="H1202" s="30"/>
      <c r="I1202" s="136"/>
      <c r="J1202" s="136"/>
      <c r="K1202" s="136"/>
      <c r="L1202" s="136"/>
      <c r="M1202" s="159"/>
      <c r="N1202" s="84"/>
      <c r="O1202" s="84"/>
      <c r="P1202" s="84"/>
      <c r="Q1202" s="84"/>
      <c r="R1202" s="84"/>
      <c r="S1202" s="159"/>
      <c r="T1202" s="159"/>
      <c r="U1202" s="159"/>
      <c r="V1202" s="159"/>
      <c r="W1202" s="159"/>
      <c r="X1202" s="159"/>
      <c r="AA1202" s="159"/>
    </row>
    <row r="1203" spans="4:27" s="66" customFormat="1">
      <c r="D1203" s="75"/>
      <c r="F1203" s="158"/>
      <c r="G1203" s="64"/>
      <c r="H1203" s="30"/>
      <c r="I1203" s="136"/>
      <c r="J1203" s="136"/>
      <c r="K1203" s="136"/>
      <c r="L1203" s="136"/>
      <c r="M1203" s="159"/>
      <c r="N1203" s="84"/>
      <c r="O1203" s="84"/>
      <c r="P1203" s="84"/>
      <c r="Q1203" s="84"/>
      <c r="R1203" s="84"/>
      <c r="S1203" s="159"/>
      <c r="T1203" s="159"/>
      <c r="U1203" s="159"/>
      <c r="V1203" s="159"/>
      <c r="W1203" s="159"/>
      <c r="X1203" s="159"/>
      <c r="AA1203" s="159"/>
    </row>
    <row r="1204" spans="4:27" s="66" customFormat="1">
      <c r="D1204" s="75"/>
      <c r="F1204" s="158"/>
      <c r="G1204" s="64"/>
      <c r="H1204" s="30"/>
      <c r="I1204" s="136"/>
      <c r="J1204" s="136"/>
      <c r="K1204" s="136"/>
      <c r="L1204" s="136"/>
      <c r="M1204" s="159"/>
      <c r="N1204" s="84"/>
      <c r="O1204" s="84"/>
      <c r="P1204" s="84"/>
      <c r="Q1204" s="84"/>
      <c r="R1204" s="84"/>
      <c r="S1204" s="159"/>
      <c r="T1204" s="159"/>
      <c r="U1204" s="159"/>
      <c r="V1204" s="159"/>
      <c r="W1204" s="159"/>
      <c r="X1204" s="159"/>
      <c r="AA1204" s="159"/>
    </row>
    <row r="1205" spans="4:27" s="66" customFormat="1">
      <c r="D1205" s="75"/>
      <c r="F1205" s="158"/>
      <c r="G1205" s="64"/>
      <c r="H1205" s="30"/>
      <c r="I1205" s="136"/>
      <c r="J1205" s="136"/>
      <c r="K1205" s="136"/>
      <c r="L1205" s="136"/>
      <c r="M1205" s="159"/>
      <c r="N1205" s="84"/>
      <c r="O1205" s="84"/>
      <c r="P1205" s="84"/>
      <c r="Q1205" s="84"/>
      <c r="R1205" s="84"/>
      <c r="S1205" s="159"/>
      <c r="T1205" s="159"/>
      <c r="U1205" s="159"/>
      <c r="V1205" s="159"/>
      <c r="W1205" s="159"/>
      <c r="X1205" s="159"/>
      <c r="AA1205" s="159"/>
    </row>
    <row r="1206" spans="4:27" s="66" customFormat="1">
      <c r="D1206" s="75"/>
      <c r="F1206" s="158"/>
      <c r="G1206" s="64"/>
      <c r="H1206" s="30"/>
      <c r="I1206" s="136"/>
      <c r="J1206" s="136"/>
      <c r="K1206" s="136"/>
      <c r="L1206" s="136"/>
      <c r="M1206" s="159"/>
      <c r="N1206" s="84"/>
      <c r="O1206" s="84"/>
      <c r="P1206" s="84"/>
      <c r="Q1206" s="84"/>
      <c r="R1206" s="84"/>
      <c r="S1206" s="159"/>
      <c r="T1206" s="159"/>
      <c r="U1206" s="159"/>
      <c r="V1206" s="159"/>
      <c r="W1206" s="159"/>
      <c r="X1206" s="159"/>
      <c r="AA1206" s="159"/>
    </row>
    <row r="1207" spans="4:27" s="66" customFormat="1">
      <c r="D1207" s="75"/>
      <c r="F1207" s="158"/>
      <c r="G1207" s="64"/>
      <c r="H1207" s="30"/>
      <c r="I1207" s="136"/>
      <c r="J1207" s="136"/>
      <c r="K1207" s="136"/>
      <c r="L1207" s="136"/>
      <c r="M1207" s="159"/>
      <c r="N1207" s="84"/>
      <c r="O1207" s="84"/>
      <c r="P1207" s="84"/>
      <c r="Q1207" s="84"/>
      <c r="R1207" s="84"/>
      <c r="S1207" s="159"/>
      <c r="T1207" s="159"/>
      <c r="U1207" s="159"/>
      <c r="V1207" s="159"/>
      <c r="W1207" s="159"/>
      <c r="X1207" s="159"/>
      <c r="AA1207" s="159"/>
    </row>
    <row r="1208" spans="4:27" s="66" customFormat="1">
      <c r="D1208" s="75"/>
      <c r="F1208" s="158"/>
      <c r="G1208" s="64"/>
      <c r="H1208" s="30"/>
      <c r="I1208" s="136"/>
      <c r="J1208" s="136"/>
      <c r="K1208" s="136"/>
      <c r="L1208" s="136"/>
      <c r="M1208" s="159"/>
      <c r="N1208" s="84"/>
      <c r="O1208" s="84"/>
      <c r="P1208" s="84"/>
      <c r="Q1208" s="84"/>
      <c r="R1208" s="84"/>
      <c r="S1208" s="159"/>
      <c r="T1208" s="159"/>
      <c r="U1208" s="159"/>
      <c r="V1208" s="159"/>
      <c r="W1208" s="159"/>
      <c r="X1208" s="159"/>
      <c r="AA1208" s="159"/>
    </row>
    <row r="1209" spans="4:27" s="66" customFormat="1">
      <c r="D1209" s="75"/>
      <c r="F1209" s="158"/>
      <c r="G1209" s="64"/>
      <c r="H1209" s="30"/>
      <c r="I1209" s="136"/>
      <c r="J1209" s="136"/>
      <c r="K1209" s="136"/>
      <c r="L1209" s="136"/>
      <c r="M1209" s="159"/>
      <c r="N1209" s="84"/>
      <c r="O1209" s="84"/>
      <c r="P1209" s="84"/>
      <c r="Q1209" s="84"/>
      <c r="R1209" s="84"/>
      <c r="S1209" s="159"/>
      <c r="T1209" s="159"/>
      <c r="U1209" s="159"/>
      <c r="V1209" s="159"/>
      <c r="W1209" s="159"/>
      <c r="X1209" s="159"/>
      <c r="AA1209" s="159"/>
    </row>
    <row r="1210" spans="4:27" s="66" customFormat="1">
      <c r="D1210" s="75"/>
      <c r="F1210" s="158"/>
      <c r="G1210" s="64"/>
      <c r="H1210" s="30"/>
      <c r="I1210" s="136"/>
      <c r="J1210" s="136"/>
      <c r="K1210" s="136"/>
      <c r="L1210" s="136"/>
      <c r="M1210" s="159"/>
      <c r="N1210" s="84"/>
      <c r="O1210" s="84"/>
      <c r="P1210" s="84"/>
      <c r="Q1210" s="84"/>
      <c r="R1210" s="84"/>
      <c r="S1210" s="159"/>
      <c r="T1210" s="159"/>
      <c r="U1210" s="159"/>
      <c r="V1210" s="159"/>
      <c r="W1210" s="159"/>
      <c r="X1210" s="159"/>
      <c r="AA1210" s="159"/>
    </row>
    <row r="1211" spans="4:27" s="66" customFormat="1">
      <c r="D1211" s="75"/>
      <c r="F1211" s="158"/>
      <c r="G1211" s="64"/>
      <c r="H1211" s="30"/>
      <c r="I1211" s="136"/>
      <c r="J1211" s="136"/>
      <c r="K1211" s="136"/>
      <c r="L1211" s="136"/>
      <c r="M1211" s="159"/>
      <c r="N1211" s="84"/>
      <c r="O1211" s="84"/>
      <c r="P1211" s="84"/>
      <c r="Q1211" s="84"/>
      <c r="R1211" s="84"/>
      <c r="S1211" s="159"/>
      <c r="T1211" s="159"/>
      <c r="U1211" s="159"/>
      <c r="V1211" s="159"/>
      <c r="W1211" s="159"/>
      <c r="X1211" s="159"/>
      <c r="AA1211" s="159"/>
    </row>
    <row r="1212" spans="4:27" s="66" customFormat="1">
      <c r="D1212" s="75"/>
      <c r="F1212" s="158"/>
      <c r="G1212" s="64"/>
      <c r="H1212" s="30"/>
      <c r="I1212" s="136"/>
      <c r="J1212" s="136"/>
      <c r="K1212" s="136"/>
      <c r="L1212" s="136"/>
      <c r="M1212" s="159"/>
      <c r="N1212" s="84"/>
      <c r="O1212" s="84"/>
      <c r="P1212" s="84"/>
      <c r="Q1212" s="84"/>
      <c r="R1212" s="84"/>
      <c r="S1212" s="159"/>
      <c r="T1212" s="159"/>
      <c r="U1212" s="159"/>
      <c r="V1212" s="159"/>
      <c r="W1212" s="159"/>
      <c r="X1212" s="159"/>
      <c r="AA1212" s="159"/>
    </row>
    <row r="1213" spans="4:27" s="66" customFormat="1">
      <c r="D1213" s="75"/>
      <c r="F1213" s="158"/>
      <c r="G1213" s="64"/>
      <c r="H1213" s="30"/>
      <c r="I1213" s="136"/>
      <c r="J1213" s="136"/>
      <c r="K1213" s="136"/>
      <c r="L1213" s="136"/>
      <c r="M1213" s="159"/>
      <c r="N1213" s="84"/>
      <c r="O1213" s="84"/>
      <c r="P1213" s="84"/>
      <c r="Q1213" s="84"/>
      <c r="R1213" s="84"/>
      <c r="S1213" s="159"/>
      <c r="T1213" s="159"/>
      <c r="U1213" s="159"/>
      <c r="V1213" s="159"/>
      <c r="W1213" s="159"/>
      <c r="X1213" s="159"/>
      <c r="AA1213" s="159"/>
    </row>
    <row r="1214" spans="4:27" s="66" customFormat="1">
      <c r="D1214" s="75"/>
      <c r="F1214" s="158"/>
      <c r="G1214" s="64"/>
      <c r="H1214" s="30"/>
      <c r="I1214" s="136"/>
      <c r="J1214" s="136"/>
      <c r="K1214" s="136"/>
      <c r="L1214" s="136"/>
      <c r="M1214" s="159"/>
      <c r="N1214" s="84"/>
      <c r="O1214" s="84"/>
      <c r="P1214" s="84"/>
      <c r="Q1214" s="84"/>
      <c r="R1214" s="84"/>
      <c r="S1214" s="159"/>
      <c r="T1214" s="159"/>
      <c r="U1214" s="159"/>
      <c r="V1214" s="159"/>
      <c r="W1214" s="159"/>
      <c r="X1214" s="159"/>
      <c r="AA1214" s="159"/>
    </row>
    <row r="1215" spans="4:27" s="66" customFormat="1">
      <c r="D1215" s="75"/>
      <c r="F1215" s="158"/>
      <c r="G1215" s="64"/>
      <c r="H1215" s="30"/>
      <c r="I1215" s="136"/>
      <c r="J1215" s="136"/>
      <c r="K1215" s="136"/>
      <c r="L1215" s="136"/>
      <c r="M1215" s="159"/>
      <c r="N1215" s="84"/>
      <c r="O1215" s="84"/>
      <c r="P1215" s="84"/>
      <c r="Q1215" s="84"/>
      <c r="R1215" s="84"/>
      <c r="S1215" s="159"/>
      <c r="T1215" s="159"/>
      <c r="U1215" s="159"/>
      <c r="V1215" s="159"/>
      <c r="W1215" s="159"/>
      <c r="X1215" s="159"/>
      <c r="AA1215" s="159"/>
    </row>
    <row r="1216" spans="4:27" s="66" customFormat="1">
      <c r="D1216" s="75"/>
      <c r="F1216" s="158"/>
      <c r="G1216" s="64"/>
      <c r="H1216" s="30"/>
      <c r="I1216" s="136"/>
      <c r="J1216" s="136"/>
      <c r="K1216" s="136"/>
      <c r="L1216" s="136"/>
      <c r="M1216" s="159"/>
      <c r="N1216" s="84"/>
      <c r="O1216" s="84"/>
      <c r="P1216" s="84"/>
      <c r="Q1216" s="84"/>
      <c r="R1216" s="84"/>
      <c r="S1216" s="159"/>
      <c r="T1216" s="159"/>
      <c r="U1216" s="159"/>
      <c r="V1216" s="159"/>
      <c r="W1216" s="159"/>
      <c r="X1216" s="159"/>
      <c r="AA1216" s="159"/>
    </row>
    <row r="1217" spans="4:27" s="66" customFormat="1">
      <c r="D1217" s="75"/>
      <c r="F1217" s="158"/>
      <c r="G1217" s="64"/>
      <c r="H1217" s="30"/>
      <c r="I1217" s="136"/>
      <c r="J1217" s="136"/>
      <c r="K1217" s="136"/>
      <c r="L1217" s="136"/>
      <c r="M1217" s="159"/>
      <c r="N1217" s="84"/>
      <c r="O1217" s="84"/>
      <c r="P1217" s="84"/>
      <c r="Q1217" s="84"/>
      <c r="R1217" s="84"/>
      <c r="S1217" s="159"/>
      <c r="T1217" s="159"/>
      <c r="U1217" s="159"/>
      <c r="V1217" s="159"/>
      <c r="W1217" s="159"/>
      <c r="X1217" s="159"/>
      <c r="AA1217" s="159"/>
    </row>
    <row r="1218" spans="4:27" s="66" customFormat="1">
      <c r="D1218" s="75"/>
      <c r="F1218" s="158"/>
      <c r="G1218" s="64"/>
      <c r="H1218" s="30"/>
      <c r="I1218" s="136"/>
      <c r="J1218" s="136"/>
      <c r="K1218" s="136"/>
      <c r="L1218" s="136"/>
      <c r="M1218" s="159"/>
      <c r="N1218" s="84"/>
      <c r="O1218" s="84"/>
      <c r="P1218" s="84"/>
      <c r="Q1218" s="84"/>
      <c r="R1218" s="84"/>
      <c r="S1218" s="159"/>
      <c r="T1218" s="159"/>
      <c r="U1218" s="159"/>
      <c r="V1218" s="159"/>
      <c r="W1218" s="159"/>
      <c r="X1218" s="159"/>
      <c r="AA1218" s="159"/>
    </row>
    <row r="1219" spans="4:27" s="66" customFormat="1">
      <c r="D1219" s="75"/>
      <c r="F1219" s="158"/>
      <c r="G1219" s="64"/>
      <c r="H1219" s="30"/>
      <c r="I1219" s="136"/>
      <c r="J1219" s="136"/>
      <c r="K1219" s="136"/>
      <c r="L1219" s="136"/>
      <c r="M1219" s="159"/>
      <c r="N1219" s="84"/>
      <c r="O1219" s="84"/>
      <c r="P1219" s="84"/>
      <c r="Q1219" s="84"/>
      <c r="R1219" s="84"/>
      <c r="S1219" s="159"/>
      <c r="T1219" s="159"/>
      <c r="U1219" s="159"/>
      <c r="V1219" s="159"/>
      <c r="W1219" s="159"/>
      <c r="X1219" s="159"/>
      <c r="AA1219" s="159"/>
    </row>
    <row r="1220" spans="4:27" s="66" customFormat="1">
      <c r="D1220" s="75"/>
      <c r="F1220" s="158"/>
      <c r="G1220" s="64"/>
      <c r="H1220" s="30"/>
      <c r="I1220" s="136"/>
      <c r="J1220" s="136"/>
      <c r="K1220" s="136"/>
      <c r="L1220" s="136"/>
      <c r="M1220" s="159"/>
      <c r="N1220" s="84"/>
      <c r="O1220" s="84"/>
      <c r="P1220" s="84"/>
      <c r="Q1220" s="84"/>
      <c r="R1220" s="84"/>
      <c r="S1220" s="159"/>
      <c r="T1220" s="159"/>
      <c r="U1220" s="159"/>
      <c r="V1220" s="159"/>
      <c r="W1220" s="159"/>
      <c r="X1220" s="159"/>
      <c r="AA1220" s="159"/>
    </row>
    <row r="1221" spans="4:27" s="66" customFormat="1">
      <c r="D1221" s="75"/>
      <c r="F1221" s="158"/>
      <c r="G1221" s="64"/>
      <c r="H1221" s="30"/>
      <c r="I1221" s="136"/>
      <c r="J1221" s="136"/>
      <c r="K1221" s="136"/>
      <c r="L1221" s="136"/>
      <c r="M1221" s="159"/>
      <c r="N1221" s="84"/>
      <c r="O1221" s="84"/>
      <c r="P1221" s="84"/>
      <c r="Q1221" s="84"/>
      <c r="R1221" s="84"/>
      <c r="S1221" s="159"/>
      <c r="T1221" s="159"/>
      <c r="U1221" s="159"/>
      <c r="V1221" s="159"/>
      <c r="W1221" s="159"/>
      <c r="X1221" s="159"/>
      <c r="AA1221" s="159"/>
    </row>
    <row r="1222" spans="4:27" s="66" customFormat="1">
      <c r="D1222" s="75"/>
      <c r="F1222" s="158"/>
      <c r="G1222" s="64"/>
      <c r="H1222" s="30"/>
      <c r="I1222" s="136"/>
      <c r="J1222" s="136"/>
      <c r="K1222" s="136"/>
      <c r="L1222" s="136"/>
      <c r="M1222" s="159"/>
      <c r="N1222" s="84"/>
      <c r="O1222" s="84"/>
      <c r="P1222" s="84"/>
      <c r="Q1222" s="84"/>
      <c r="R1222" s="84"/>
      <c r="S1222" s="159"/>
      <c r="T1222" s="159"/>
      <c r="U1222" s="159"/>
      <c r="V1222" s="159"/>
      <c r="W1222" s="159"/>
      <c r="X1222" s="159"/>
      <c r="AA1222" s="159"/>
    </row>
    <row r="1223" spans="4:27" s="66" customFormat="1">
      <c r="D1223" s="75"/>
      <c r="F1223" s="158"/>
      <c r="G1223" s="64"/>
      <c r="H1223" s="30"/>
      <c r="I1223" s="136"/>
      <c r="J1223" s="136"/>
      <c r="K1223" s="136"/>
      <c r="L1223" s="136"/>
      <c r="M1223" s="159"/>
      <c r="N1223" s="84"/>
      <c r="O1223" s="84"/>
      <c r="P1223" s="84"/>
      <c r="Q1223" s="84"/>
      <c r="R1223" s="84"/>
      <c r="S1223" s="159"/>
      <c r="T1223" s="159"/>
      <c r="U1223" s="159"/>
      <c r="V1223" s="159"/>
      <c r="W1223" s="159"/>
      <c r="X1223" s="159"/>
      <c r="AA1223" s="159"/>
    </row>
    <row r="1224" spans="4:27" s="66" customFormat="1">
      <c r="D1224" s="75"/>
      <c r="F1224" s="158"/>
      <c r="G1224" s="64"/>
      <c r="H1224" s="30"/>
      <c r="I1224" s="136"/>
      <c r="J1224" s="136"/>
      <c r="K1224" s="136"/>
      <c r="L1224" s="136"/>
      <c r="M1224" s="159"/>
      <c r="N1224" s="84"/>
      <c r="O1224" s="84"/>
      <c r="P1224" s="84"/>
      <c r="Q1224" s="84"/>
      <c r="R1224" s="84"/>
      <c r="S1224" s="159"/>
      <c r="T1224" s="159"/>
      <c r="U1224" s="159"/>
      <c r="V1224" s="159"/>
      <c r="W1224" s="159"/>
      <c r="X1224" s="159"/>
      <c r="AA1224" s="159"/>
    </row>
    <row r="1225" spans="4:27" s="66" customFormat="1">
      <c r="D1225" s="75"/>
      <c r="F1225" s="158"/>
      <c r="G1225" s="64"/>
      <c r="H1225" s="30"/>
      <c r="I1225" s="136"/>
      <c r="J1225" s="136"/>
      <c r="K1225" s="136"/>
      <c r="L1225" s="136"/>
      <c r="M1225" s="159"/>
      <c r="N1225" s="84"/>
      <c r="O1225" s="84"/>
      <c r="P1225" s="84"/>
      <c r="Q1225" s="84"/>
      <c r="R1225" s="84"/>
      <c r="S1225" s="159"/>
      <c r="T1225" s="159"/>
      <c r="U1225" s="159"/>
      <c r="V1225" s="159"/>
      <c r="W1225" s="159"/>
      <c r="X1225" s="159"/>
      <c r="AA1225" s="159"/>
    </row>
    <row r="1226" spans="4:27" s="66" customFormat="1">
      <c r="D1226" s="75"/>
      <c r="F1226" s="158"/>
      <c r="G1226" s="64"/>
      <c r="H1226" s="30"/>
      <c r="I1226" s="136"/>
      <c r="J1226" s="136"/>
      <c r="K1226" s="136"/>
      <c r="L1226" s="136"/>
      <c r="M1226" s="159"/>
      <c r="N1226" s="84"/>
      <c r="O1226" s="84"/>
      <c r="P1226" s="84"/>
      <c r="Q1226" s="84"/>
      <c r="R1226" s="84"/>
      <c r="S1226" s="159"/>
      <c r="T1226" s="159"/>
      <c r="U1226" s="159"/>
      <c r="V1226" s="159"/>
      <c r="W1226" s="159"/>
      <c r="X1226" s="159"/>
      <c r="AA1226" s="159"/>
    </row>
    <row r="1227" spans="4:27" s="66" customFormat="1">
      <c r="D1227" s="75"/>
      <c r="F1227" s="158"/>
      <c r="G1227" s="64"/>
      <c r="H1227" s="30"/>
      <c r="I1227" s="136"/>
      <c r="J1227" s="136"/>
      <c r="K1227" s="136"/>
      <c r="L1227" s="136"/>
      <c r="M1227" s="159"/>
      <c r="N1227" s="84"/>
      <c r="O1227" s="84"/>
      <c r="P1227" s="84"/>
      <c r="Q1227" s="84"/>
      <c r="R1227" s="84"/>
      <c r="S1227" s="159"/>
      <c r="T1227" s="159"/>
      <c r="U1227" s="159"/>
      <c r="V1227" s="159"/>
      <c r="W1227" s="159"/>
      <c r="X1227" s="159"/>
      <c r="AA1227" s="159"/>
    </row>
    <row r="1228" spans="4:27" s="66" customFormat="1">
      <c r="D1228" s="75"/>
      <c r="F1228" s="158"/>
      <c r="G1228" s="64"/>
      <c r="H1228" s="30"/>
      <c r="I1228" s="136"/>
      <c r="J1228" s="136"/>
      <c r="K1228" s="136"/>
      <c r="L1228" s="136"/>
      <c r="M1228" s="159"/>
      <c r="N1228" s="84"/>
      <c r="O1228" s="84"/>
      <c r="P1228" s="84"/>
      <c r="Q1228" s="84"/>
      <c r="R1228" s="84"/>
      <c r="S1228" s="159"/>
      <c r="T1228" s="159"/>
      <c r="U1228" s="159"/>
      <c r="V1228" s="159"/>
      <c r="W1228" s="159"/>
      <c r="X1228" s="159"/>
      <c r="AA1228" s="159"/>
    </row>
    <row r="1229" spans="4:27" s="66" customFormat="1">
      <c r="D1229" s="75"/>
      <c r="F1229" s="158"/>
      <c r="G1229" s="64"/>
      <c r="H1229" s="30"/>
      <c r="I1229" s="136"/>
      <c r="J1229" s="136"/>
      <c r="K1229" s="136"/>
      <c r="L1229" s="136"/>
      <c r="M1229" s="159"/>
      <c r="N1229" s="84"/>
      <c r="O1229" s="84"/>
      <c r="P1229" s="84"/>
      <c r="Q1229" s="84"/>
      <c r="R1229" s="84"/>
      <c r="S1229" s="159"/>
      <c r="T1229" s="159"/>
      <c r="U1229" s="159"/>
      <c r="V1229" s="159"/>
      <c r="W1229" s="159"/>
      <c r="X1229" s="159"/>
      <c r="AA1229" s="159"/>
    </row>
    <row r="1230" spans="4:27" s="66" customFormat="1">
      <c r="D1230" s="75"/>
      <c r="F1230" s="158"/>
      <c r="G1230" s="64"/>
      <c r="H1230" s="30"/>
      <c r="I1230" s="136"/>
      <c r="J1230" s="136"/>
      <c r="K1230" s="136"/>
      <c r="L1230" s="136"/>
      <c r="M1230" s="159"/>
      <c r="N1230" s="84"/>
      <c r="O1230" s="84"/>
      <c r="P1230" s="84"/>
      <c r="Q1230" s="84"/>
      <c r="R1230" s="84"/>
      <c r="S1230" s="159"/>
      <c r="T1230" s="159"/>
      <c r="U1230" s="159"/>
      <c r="V1230" s="159"/>
      <c r="W1230" s="159"/>
      <c r="X1230" s="159"/>
      <c r="AA1230" s="159"/>
    </row>
    <row r="1231" spans="4:27" s="66" customFormat="1">
      <c r="D1231" s="75"/>
      <c r="F1231" s="158"/>
      <c r="G1231" s="64"/>
      <c r="H1231" s="30"/>
      <c r="I1231" s="136"/>
      <c r="J1231" s="136"/>
      <c r="K1231" s="136"/>
      <c r="L1231" s="136"/>
      <c r="M1231" s="159"/>
      <c r="N1231" s="84"/>
      <c r="O1231" s="84"/>
      <c r="P1231" s="84"/>
      <c r="Q1231" s="84"/>
      <c r="R1231" s="84"/>
      <c r="S1231" s="159"/>
      <c r="T1231" s="159"/>
      <c r="U1231" s="159"/>
      <c r="V1231" s="159"/>
      <c r="W1231" s="159"/>
      <c r="X1231" s="159"/>
      <c r="AA1231" s="159"/>
    </row>
    <row r="1232" spans="4:27" s="66" customFormat="1">
      <c r="D1232" s="75"/>
      <c r="F1232" s="158"/>
      <c r="G1232" s="64"/>
      <c r="H1232" s="30"/>
      <c r="I1232" s="30"/>
      <c r="J1232" s="30"/>
      <c r="K1232" s="30"/>
      <c r="L1232" s="30"/>
      <c r="M1232" s="159"/>
      <c r="N1232" s="84"/>
      <c r="O1232" s="84"/>
      <c r="P1232" s="84"/>
      <c r="Q1232" s="84"/>
      <c r="R1232" s="84"/>
      <c r="S1232" s="159"/>
      <c r="T1232" s="159"/>
      <c r="U1232" s="159"/>
      <c r="V1232" s="159"/>
      <c r="W1232" s="159"/>
      <c r="X1232" s="159"/>
      <c r="AA1232" s="159"/>
    </row>
    <row r="1233" spans="4:38" s="66" customFormat="1">
      <c r="D1233" s="75"/>
      <c r="F1233" s="30"/>
      <c r="G1233" s="64"/>
      <c r="H1233" s="30"/>
      <c r="I1233" s="30"/>
      <c r="J1233" s="30"/>
      <c r="K1233" s="30"/>
      <c r="L1233" s="30"/>
      <c r="M1233" s="159"/>
      <c r="N1233" s="84"/>
      <c r="O1233" s="84"/>
      <c r="P1233" s="84"/>
      <c r="Q1233" s="84"/>
      <c r="R1233" s="84"/>
      <c r="S1233" s="159"/>
      <c r="T1233" s="159"/>
      <c r="U1233" s="159"/>
      <c r="V1233" s="159"/>
      <c r="W1233" s="159"/>
      <c r="X1233" s="159"/>
      <c r="AA1233" s="159"/>
    </row>
    <row r="1234" spans="4:38" s="66" customFormat="1">
      <c r="D1234" s="75"/>
      <c r="F1234" s="30"/>
      <c r="G1234" s="64"/>
      <c r="H1234" s="30"/>
      <c r="I1234" s="30"/>
      <c r="J1234" s="30"/>
      <c r="K1234" s="30"/>
      <c r="L1234" s="30"/>
      <c r="M1234" s="159"/>
      <c r="N1234" s="84"/>
      <c r="O1234" s="84"/>
      <c r="P1234" s="84"/>
      <c r="Q1234" s="84"/>
      <c r="R1234" s="84"/>
      <c r="S1234" s="159"/>
      <c r="T1234" s="159"/>
      <c r="U1234" s="159"/>
      <c r="V1234" s="159"/>
      <c r="W1234" s="159"/>
      <c r="X1234" s="159"/>
      <c r="AA1234" s="159"/>
    </row>
    <row r="1235" spans="4:38" s="66" customFormat="1">
      <c r="D1235" s="75"/>
      <c r="F1235" s="30"/>
      <c r="G1235" s="64"/>
      <c r="H1235" s="30"/>
      <c r="I1235" s="30"/>
      <c r="J1235" s="30"/>
      <c r="K1235" s="30"/>
      <c r="L1235" s="30"/>
      <c r="M1235" s="159"/>
      <c r="N1235" s="84"/>
      <c r="O1235" s="84"/>
      <c r="P1235" s="84"/>
      <c r="Q1235" s="84"/>
      <c r="R1235" s="84"/>
      <c r="S1235" s="159"/>
      <c r="T1235" s="159"/>
      <c r="U1235" s="159"/>
      <c r="V1235" s="159"/>
      <c r="W1235" s="159"/>
      <c r="X1235" s="159"/>
      <c r="AA1235" s="159"/>
    </row>
    <row r="1236" spans="4:38" s="66" customFormat="1">
      <c r="D1236" s="75"/>
      <c r="F1236" s="30"/>
      <c r="G1236" s="64"/>
      <c r="H1236" s="30"/>
      <c r="I1236" s="30"/>
      <c r="J1236" s="30"/>
      <c r="K1236" s="30"/>
      <c r="L1236" s="30"/>
      <c r="M1236" s="159"/>
      <c r="N1236" s="84"/>
      <c r="O1236" s="84"/>
      <c r="P1236" s="84"/>
      <c r="Q1236" s="84"/>
      <c r="R1236" s="84"/>
      <c r="S1236" s="159"/>
      <c r="T1236" s="159"/>
      <c r="U1236" s="159"/>
      <c r="V1236" s="159"/>
      <c r="W1236" s="159"/>
      <c r="X1236" s="159"/>
      <c r="AA1236" s="159"/>
    </row>
    <row r="1237" spans="4:38" s="66" customFormat="1">
      <c r="D1237" s="75"/>
      <c r="F1237" s="30"/>
      <c r="G1237" s="64"/>
      <c r="H1237" s="30"/>
      <c r="I1237" s="30"/>
      <c r="J1237" s="30"/>
      <c r="K1237" s="30"/>
      <c r="L1237" s="30"/>
      <c r="M1237" s="159"/>
      <c r="N1237" s="84"/>
      <c r="O1237" s="84"/>
      <c r="P1237" s="84"/>
      <c r="Q1237" s="84"/>
      <c r="R1237" s="84"/>
      <c r="S1237" s="159"/>
      <c r="T1237" s="159"/>
      <c r="U1237" s="159"/>
      <c r="V1237" s="159"/>
      <c r="W1237" s="159"/>
      <c r="X1237" s="159"/>
      <c r="AA1237" s="159"/>
    </row>
    <row r="1238" spans="4:38" s="66" customFormat="1">
      <c r="D1238" s="75"/>
      <c r="F1238" s="30"/>
      <c r="G1238" s="64"/>
      <c r="H1238" s="30"/>
      <c r="I1238" s="30"/>
      <c r="J1238" s="30"/>
      <c r="K1238" s="30"/>
      <c r="L1238" s="30"/>
      <c r="M1238" s="159"/>
      <c r="N1238" s="84"/>
      <c r="O1238" s="84"/>
      <c r="P1238" s="84"/>
      <c r="Q1238" s="84"/>
      <c r="R1238" s="84"/>
      <c r="S1238" s="159"/>
      <c r="T1238" s="159"/>
      <c r="U1238" s="159"/>
      <c r="V1238" s="159"/>
      <c r="W1238" s="159"/>
      <c r="X1238" s="159"/>
      <c r="AA1238" s="159"/>
    </row>
    <row r="1239" spans="4:38" s="66" customFormat="1">
      <c r="D1239" s="75"/>
      <c r="F1239" s="30"/>
      <c r="G1239" s="64"/>
      <c r="H1239" s="30"/>
      <c r="I1239" s="30"/>
      <c r="J1239" s="30"/>
      <c r="K1239" s="30"/>
      <c r="L1239" s="30"/>
      <c r="M1239" s="159"/>
      <c r="N1239" s="84"/>
      <c r="O1239" s="84"/>
      <c r="P1239" s="84"/>
      <c r="Q1239" s="84"/>
      <c r="R1239" s="84"/>
      <c r="S1239" s="159"/>
      <c r="T1239" s="159"/>
      <c r="U1239" s="159"/>
      <c r="V1239" s="159"/>
      <c r="W1239" s="159"/>
      <c r="X1239" s="159"/>
      <c r="AA1239" s="159"/>
    </row>
    <row r="1240" spans="4:38" s="66" customFormat="1">
      <c r="D1240" s="75"/>
      <c r="F1240" s="30"/>
      <c r="G1240" s="64"/>
      <c r="H1240" s="30"/>
      <c r="I1240" s="30"/>
      <c r="J1240" s="30"/>
      <c r="K1240" s="30"/>
      <c r="L1240" s="30"/>
      <c r="M1240" s="33"/>
      <c r="N1240" s="84"/>
      <c r="O1240" s="84"/>
      <c r="P1240" s="84"/>
      <c r="Q1240" s="84"/>
      <c r="R1240" s="84"/>
      <c r="S1240" s="159"/>
      <c r="T1240" s="159"/>
      <c r="U1240" s="159"/>
      <c r="V1240" s="159"/>
      <c r="W1240" s="159"/>
      <c r="X1240" s="159"/>
      <c r="AA1240" s="159"/>
    </row>
    <row r="1241" spans="4:38">
      <c r="N1241" s="84"/>
      <c r="O1241" s="84"/>
      <c r="AK1241" s="66"/>
      <c r="AL1241" s="66"/>
    </row>
    <row r="1242" spans="4:38">
      <c r="AK1242" s="66"/>
      <c r="AL1242" s="66"/>
    </row>
    <row r="1243" spans="4:38">
      <c r="AK1243" s="66"/>
      <c r="AL1243" s="66"/>
    </row>
    <row r="1244" spans="4:38">
      <c r="AK1244" s="66"/>
      <c r="AL1244" s="66"/>
    </row>
    <row r="1245" spans="4:38">
      <c r="AK1245" s="66"/>
      <c r="AL1245" s="66"/>
    </row>
    <row r="1246" spans="4:38">
      <c r="AK1246" s="66"/>
      <c r="AL1246" s="66"/>
    </row>
    <row r="1247" spans="4:38">
      <c r="AK1247" s="66"/>
      <c r="AL1247" s="66"/>
    </row>
    <row r="1248" spans="4:38">
      <c r="AK1248" s="66"/>
      <c r="AL1248" s="66"/>
    </row>
    <row r="1249" spans="37:38">
      <c r="AK1249" s="66"/>
      <c r="AL1249" s="66"/>
    </row>
    <row r="1250" spans="37:38">
      <c r="AK1250" s="66"/>
      <c r="AL1250" s="66"/>
    </row>
    <row r="1251" spans="37:38">
      <c r="AK1251" s="66"/>
      <c r="AL1251" s="66"/>
    </row>
    <row r="1252" spans="37:38">
      <c r="AK1252" s="66"/>
      <c r="AL1252" s="66"/>
    </row>
    <row r="1253" spans="37:38">
      <c r="AK1253" s="66"/>
      <c r="AL1253" s="66"/>
    </row>
    <row r="1254" spans="37:38">
      <c r="AK1254" s="66"/>
      <c r="AL1254" s="66"/>
    </row>
    <row r="1255" spans="37:38">
      <c r="AK1255" s="66"/>
      <c r="AL1255" s="66"/>
    </row>
    <row r="1256" spans="37:38">
      <c r="AK1256" s="66"/>
      <c r="AL1256" s="66"/>
    </row>
    <row r="1257" spans="37:38">
      <c r="AK1257" s="66"/>
      <c r="AL1257" s="66"/>
    </row>
    <row r="1258" spans="37:38">
      <c r="AK1258" s="66"/>
      <c r="AL1258" s="66"/>
    </row>
    <row r="1259" spans="37:38">
      <c r="AK1259" s="66"/>
      <c r="AL1259" s="66"/>
    </row>
    <row r="1260" spans="37:38">
      <c r="AK1260" s="66"/>
      <c r="AL1260" s="66"/>
    </row>
    <row r="1261" spans="37:38">
      <c r="AK1261" s="66"/>
      <c r="AL1261" s="66"/>
    </row>
    <row r="1262" spans="37:38">
      <c r="AK1262" s="66"/>
      <c r="AL1262" s="66"/>
    </row>
    <row r="1263" spans="37:38">
      <c r="AK1263" s="66"/>
      <c r="AL1263" s="66"/>
    </row>
    <row r="1264" spans="37:38">
      <c r="AK1264" s="66"/>
      <c r="AL1264" s="66"/>
    </row>
  </sheetData>
  <sheetProtection algorithmName="SHA-512" hashValue="mMpzFvrEy5WKcDy7eDUfWvb2ZyEjrnHVxdfLPXJkmk0YCioVXMA+ZBH+hDy4LvT57ddmceKkqtWh+cfkZEuExQ==" saltValue="BgOXRx75vcwe8fNcFM49GQ==" spinCount="100000" sheet="1" objects="1" scenarios="1"/>
  <mergeCells count="3">
    <mergeCell ref="B9:C9"/>
    <mergeCell ref="B14:B15"/>
    <mergeCell ref="C14:C15"/>
  </mergeCells>
  <dataValidations count="4">
    <dataValidation type="list" allowBlank="1" showInputMessage="1" showErrorMessage="1" sqref="C13" xr:uid="{AD35765C-2D96-406E-83E6-646C61159C5A}">
      <formula1>$B$436:$B$437</formula1>
    </dataValidation>
    <dataValidation type="list" allowBlank="1" showInputMessage="1" showErrorMessage="1" sqref="C12" xr:uid="{18DC9AB3-61E6-4AD9-A670-99A94A481F2E}">
      <formula1>$AL$8:$AL$263</formula1>
    </dataValidation>
    <dataValidation type="list" allowBlank="1" showInputMessage="1" showErrorMessage="1" promptTitle="PAIS" sqref="C11" xr:uid="{3749937B-84A9-43BA-9D89-B1C163D27B58}">
      <formula1>$AZ$8:$AZ$40</formula1>
    </dataValidation>
    <dataValidation type="list" allowBlank="1" showInputMessage="1" showErrorMessage="1" sqref="F7" xr:uid="{6E77CCEB-406C-4ACC-844E-0745DD5940A4}">
      <formula1>$U$7:$U$9</formula1>
    </dataValidation>
  </dataValidations>
  <hyperlinks>
    <hyperlink ref="B4" r:id="rId1" display="http://www.dhl.es/" xr:uid="{DD658CEB-57FF-4A84-9D41-8DDEEFAB6736}"/>
  </hyperlinks>
  <printOptions horizontalCentered="1"/>
  <pageMargins left="0.59055118110236227" right="0.59055118110236227" top="0.35433070866141736" bottom="0.59055118110236227" header="0" footer="0"/>
  <pageSetup paperSize="9" scale="60" fitToWidth="2" orientation="portrait" horizontalDpi="4294967292" verticalDpi="300" r:id="rId2"/>
  <headerFooter alignWithMargins="0">
    <oddFooter>&amp;C&amp;"Calibri,Regular"Página &amp;P de &amp;N</oddFooter>
  </headerFooter>
  <colBreaks count="1" manualBreakCount="1">
    <brk id="12" max="82" man="1"/>
  </colBreaks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55ECFA-9BD3-4E2D-9EBC-6A86F412335C}">
  <sheetPr codeName="Sheet6">
    <pageSetUpPr fitToPage="1"/>
  </sheetPr>
  <dimension ref="A1:AA102"/>
  <sheetViews>
    <sheetView showGridLines="0" showRowColHeaders="0" zoomScale="85" zoomScaleNormal="85" workbookViewId="0">
      <selection activeCell="E22" sqref="E22"/>
    </sheetView>
  </sheetViews>
  <sheetFormatPr defaultColWidth="0" defaultRowHeight="28.5" customHeight="1" zeroHeight="1"/>
  <cols>
    <col min="1" max="1" width="6.5703125" style="202" customWidth="1"/>
    <col min="2" max="2" width="40" style="201" customWidth="1"/>
    <col min="3" max="3" width="4.85546875" style="201" customWidth="1"/>
    <col min="4" max="4" width="73.28515625" style="201" customWidth="1"/>
    <col min="5" max="5" width="42.42578125" style="200" customWidth="1"/>
    <col min="6" max="6" width="1.5703125" style="161" customWidth="1"/>
    <col min="7" max="16384" width="9.140625" style="161" hidden="1"/>
  </cols>
  <sheetData>
    <row r="1" spans="1:27" ht="31.5">
      <c r="A1" s="32" t="s">
        <v>24</v>
      </c>
      <c r="B1" s="160"/>
      <c r="C1" s="160"/>
      <c r="D1" s="35"/>
      <c r="E1" s="35"/>
    </row>
    <row r="2" spans="1:27" ht="9.75" customHeight="1">
      <c r="A2" s="35"/>
      <c r="B2" s="35"/>
      <c r="C2" s="35"/>
      <c r="D2" s="35"/>
      <c r="E2" s="35"/>
    </row>
    <row r="3" spans="1:27">
      <c r="A3" s="35" t="s">
        <v>154</v>
      </c>
      <c r="B3" s="35"/>
      <c r="C3" s="35"/>
      <c r="D3" s="35"/>
      <c r="E3" s="35"/>
    </row>
    <row r="4" spans="1:27">
      <c r="A4" s="162"/>
      <c r="B4" s="162"/>
      <c r="C4" s="162"/>
      <c r="D4" s="162"/>
      <c r="E4" s="162"/>
    </row>
    <row r="5" spans="1:27">
      <c r="A5" s="163"/>
      <c r="B5" s="163"/>
      <c r="C5" s="163"/>
      <c r="D5" s="163"/>
      <c r="E5" s="164"/>
    </row>
    <row r="6" spans="1:27">
      <c r="A6" s="163"/>
      <c r="B6" s="163"/>
      <c r="C6" s="163"/>
      <c r="D6" s="163"/>
      <c r="E6" s="164"/>
    </row>
    <row r="7" spans="1:27">
      <c r="A7" s="165" t="s">
        <v>155</v>
      </c>
      <c r="B7" s="166"/>
      <c r="C7" s="167"/>
      <c r="D7" s="168"/>
      <c r="E7" s="168"/>
    </row>
    <row r="8" spans="1:27" s="171" customFormat="1" ht="35.25" customHeight="1">
      <c r="A8" s="169"/>
      <c r="B8" s="170" t="s">
        <v>156</v>
      </c>
      <c r="C8" s="169"/>
      <c r="D8" s="170" t="s">
        <v>157</v>
      </c>
      <c r="E8" s="170" t="s">
        <v>158</v>
      </c>
    </row>
    <row r="9" spans="1:27" ht="38.25" customHeight="1" thickBot="1">
      <c r="A9" s="172"/>
      <c r="B9" s="173" t="s">
        <v>159</v>
      </c>
      <c r="C9" s="174"/>
      <c r="D9" s="175" t="s">
        <v>160</v>
      </c>
      <c r="E9" s="176" t="s">
        <v>161</v>
      </c>
      <c r="AA9" s="161" t="s">
        <v>161</v>
      </c>
    </row>
    <row r="10" spans="1:27" ht="38.25" customHeight="1" thickBot="1">
      <c r="A10" s="172"/>
      <c r="B10" s="177" t="s">
        <v>162</v>
      </c>
      <c r="C10" s="178"/>
      <c r="D10" s="179" t="s">
        <v>163</v>
      </c>
      <c r="E10" s="180">
        <v>5</v>
      </c>
      <c r="AA10" s="161">
        <v>5</v>
      </c>
    </row>
    <row r="11" spans="1:27" ht="38.25" customHeight="1" thickBot="1">
      <c r="A11" s="172"/>
      <c r="B11" s="177" t="s">
        <v>164</v>
      </c>
      <c r="C11" s="178"/>
      <c r="D11" s="179" t="s">
        <v>165</v>
      </c>
      <c r="E11" s="180">
        <v>31</v>
      </c>
      <c r="AA11" s="161">
        <v>31</v>
      </c>
    </row>
    <row r="12" spans="1:27" ht="42.75" customHeight="1" thickBot="1">
      <c r="A12" s="172"/>
      <c r="B12" s="219" t="s">
        <v>166</v>
      </c>
      <c r="C12" s="181"/>
      <c r="D12" s="179" t="s">
        <v>167</v>
      </c>
      <c r="E12" s="180" t="s">
        <v>168</v>
      </c>
      <c r="AA12" s="161" t="s">
        <v>168</v>
      </c>
    </row>
    <row r="13" spans="1:27" ht="55.5" customHeight="1" thickBot="1">
      <c r="A13" s="172"/>
      <c r="B13" s="220"/>
      <c r="C13" s="174"/>
      <c r="D13" s="179" t="s">
        <v>169</v>
      </c>
      <c r="E13" s="180" t="s">
        <v>170</v>
      </c>
      <c r="AA13" s="161" t="s">
        <v>170</v>
      </c>
    </row>
    <row r="14" spans="1:27" ht="60" customHeight="1" thickBot="1">
      <c r="A14" s="172"/>
      <c r="B14" s="173" t="s">
        <v>171</v>
      </c>
      <c r="C14" s="182"/>
      <c r="D14" s="183" t="s">
        <v>172</v>
      </c>
      <c r="E14" s="180" t="s">
        <v>173</v>
      </c>
      <c r="AA14" s="161" t="s">
        <v>173</v>
      </c>
    </row>
    <row r="15" spans="1:27" ht="38.25" customHeight="1">
      <c r="A15" s="172"/>
      <c r="B15" s="184" t="s">
        <v>174</v>
      </c>
      <c r="C15" s="185"/>
      <c r="D15" s="184" t="s">
        <v>175</v>
      </c>
      <c r="E15" s="186"/>
    </row>
    <row r="16" spans="1:27" s="190" customFormat="1" ht="18.75">
      <c r="A16" s="187"/>
      <c r="B16" s="187"/>
      <c r="C16" s="187"/>
      <c r="D16" s="188"/>
      <c r="E16" s="189"/>
    </row>
    <row r="17" spans="1:27" s="190" customFormat="1" ht="38.25" customHeight="1">
      <c r="A17" s="187"/>
      <c r="B17" s="167" t="s">
        <v>176</v>
      </c>
      <c r="C17" s="191"/>
      <c r="D17" s="192"/>
      <c r="E17" s="193"/>
    </row>
    <row r="18" spans="1:27" s="171" customFormat="1" ht="38.25" customHeight="1">
      <c r="A18" s="221" t="s">
        <v>177</v>
      </c>
      <c r="B18" s="221"/>
      <c r="C18" s="221"/>
      <c r="D18" s="170" t="s">
        <v>157</v>
      </c>
      <c r="E18" s="170" t="str">
        <f>E8</f>
        <v>PRECIOS 2026</v>
      </c>
      <c r="AA18" s="171" t="s">
        <v>178</v>
      </c>
    </row>
    <row r="19" spans="1:27" ht="38.25" customHeight="1" thickBot="1">
      <c r="A19" s="172"/>
      <c r="B19" s="173" t="s">
        <v>179</v>
      </c>
      <c r="C19" s="174"/>
      <c r="D19" s="194" t="s">
        <v>180</v>
      </c>
      <c r="E19" s="195" t="s">
        <v>472</v>
      </c>
      <c r="AA19" s="161" t="s">
        <v>181</v>
      </c>
    </row>
    <row r="20" spans="1:27" ht="38.25" customHeight="1" thickBot="1">
      <c r="A20" s="172"/>
      <c r="B20" s="177" t="s">
        <v>182</v>
      </c>
      <c r="C20" s="178"/>
      <c r="D20" s="183" t="s">
        <v>183</v>
      </c>
      <c r="E20" s="180" t="s">
        <v>184</v>
      </c>
      <c r="AA20" s="161" t="s">
        <v>184</v>
      </c>
    </row>
    <row r="21" spans="1:27" ht="38.25" customHeight="1" thickBot="1">
      <c r="A21" s="172"/>
      <c r="B21" s="177" t="s">
        <v>185</v>
      </c>
      <c r="C21" s="178"/>
      <c r="D21" s="183" t="s">
        <v>186</v>
      </c>
      <c r="E21" s="180" t="s">
        <v>184</v>
      </c>
      <c r="AA21" s="161" t="s">
        <v>184</v>
      </c>
    </row>
    <row r="22" spans="1:27" ht="38.25" customHeight="1" thickBot="1">
      <c r="A22" s="172"/>
      <c r="B22" s="177" t="s">
        <v>187</v>
      </c>
      <c r="C22" s="177"/>
      <c r="D22" s="183" t="s">
        <v>188</v>
      </c>
      <c r="E22" s="180">
        <v>10</v>
      </c>
      <c r="AA22" s="161">
        <v>10</v>
      </c>
    </row>
    <row r="23" spans="1:27" ht="48" customHeight="1" thickBot="1">
      <c r="A23" s="172"/>
      <c r="B23" s="178" t="s">
        <v>189</v>
      </c>
      <c r="C23" s="178"/>
      <c r="D23" s="183" t="s">
        <v>190</v>
      </c>
      <c r="E23" s="180">
        <v>23</v>
      </c>
      <c r="AA23" s="161">
        <v>23</v>
      </c>
    </row>
    <row r="24" spans="1:27" ht="49.5" customHeight="1" thickBot="1">
      <c r="A24" s="172"/>
      <c r="B24" s="174"/>
      <c r="C24" s="174"/>
      <c r="D24" s="183" t="s">
        <v>191</v>
      </c>
      <c r="E24" s="180">
        <v>55</v>
      </c>
      <c r="AA24" s="161">
        <v>55</v>
      </c>
    </row>
    <row r="25" spans="1:27" ht="48" customHeight="1" thickBot="1">
      <c r="A25" s="172"/>
      <c r="B25" s="173"/>
      <c r="C25" s="173"/>
      <c r="D25" s="183" t="s">
        <v>192</v>
      </c>
      <c r="E25" s="180">
        <v>45</v>
      </c>
      <c r="AA25" s="161">
        <v>45</v>
      </c>
    </row>
    <row r="26" spans="1:27" ht="38.25" customHeight="1" thickBot="1">
      <c r="A26" s="172"/>
      <c r="B26" s="177" t="s">
        <v>193</v>
      </c>
      <c r="C26" s="177"/>
      <c r="D26" s="183" t="s">
        <v>194</v>
      </c>
      <c r="E26" s="180">
        <v>45</v>
      </c>
      <c r="AA26" s="161">
        <v>45</v>
      </c>
    </row>
    <row r="27" spans="1:27" ht="38.25" customHeight="1" thickBot="1">
      <c r="A27" s="172"/>
      <c r="B27" s="177" t="s">
        <v>195</v>
      </c>
      <c r="C27" s="177"/>
      <c r="D27" s="183" t="s">
        <v>196</v>
      </c>
      <c r="E27" s="180" t="s">
        <v>197</v>
      </c>
      <c r="AA27" s="161" t="s">
        <v>197</v>
      </c>
    </row>
    <row r="28" spans="1:27" ht="38.25" customHeight="1" thickBot="1">
      <c r="A28" s="172"/>
      <c r="B28" s="177" t="s">
        <v>198</v>
      </c>
      <c r="C28" s="177"/>
      <c r="D28" s="183" t="s">
        <v>199</v>
      </c>
      <c r="E28" s="180" t="s">
        <v>200</v>
      </c>
      <c r="AA28" s="161" t="s">
        <v>200</v>
      </c>
    </row>
    <row r="29" spans="1:27" s="196" customFormat="1" ht="36" customHeight="1" thickBot="1">
      <c r="A29" s="172"/>
      <c r="B29" s="177" t="s">
        <v>201</v>
      </c>
      <c r="C29" s="174"/>
      <c r="D29" s="179" t="s">
        <v>202</v>
      </c>
      <c r="E29" s="180" t="s">
        <v>203</v>
      </c>
      <c r="AA29" s="196" t="s">
        <v>203</v>
      </c>
    </row>
    <row r="30" spans="1:27" s="196" customFormat="1" ht="36" customHeight="1" thickBot="1">
      <c r="A30" s="172"/>
      <c r="B30" s="177" t="s">
        <v>204</v>
      </c>
      <c r="C30" s="177"/>
      <c r="D30" s="183" t="s">
        <v>205</v>
      </c>
      <c r="E30" s="180" t="s">
        <v>206</v>
      </c>
      <c r="AA30" s="196" t="s">
        <v>207</v>
      </c>
    </row>
    <row r="31" spans="1:27" ht="17.25">
      <c r="A31" s="172"/>
      <c r="B31" s="184" t="s">
        <v>208</v>
      </c>
      <c r="C31" s="197"/>
      <c r="D31" s="184" t="s">
        <v>209</v>
      </c>
      <c r="E31" s="198"/>
    </row>
    <row r="32" spans="1:27" ht="7.5" customHeight="1">
      <c r="A32" s="199"/>
      <c r="B32" s="184"/>
      <c r="C32" s="199"/>
      <c r="D32" s="199"/>
      <c r="E32" s="199"/>
    </row>
    <row r="33" spans="1:5" hidden="1">
      <c r="A33" s="199"/>
      <c r="B33" s="199"/>
      <c r="C33" s="199"/>
      <c r="D33" s="199"/>
      <c r="E33" s="199"/>
    </row>
    <row r="34" spans="1:5" hidden="1">
      <c r="A34" s="199"/>
      <c r="B34" s="199"/>
      <c r="C34" s="199"/>
      <c r="D34" s="199"/>
      <c r="E34" s="199"/>
    </row>
    <row r="35" spans="1:5" hidden="1">
      <c r="A35" s="199"/>
      <c r="B35" s="199"/>
      <c r="C35" s="199"/>
      <c r="D35" s="199"/>
      <c r="E35" s="199"/>
    </row>
    <row r="36" spans="1:5" hidden="1">
      <c r="A36" s="199"/>
      <c r="B36" s="199"/>
      <c r="C36" s="199"/>
      <c r="D36" s="199"/>
      <c r="E36" s="199"/>
    </row>
    <row r="37" spans="1:5" hidden="1">
      <c r="A37" s="199"/>
      <c r="B37" s="199"/>
      <c r="C37" s="199"/>
      <c r="D37" s="199"/>
      <c r="E37" s="199"/>
    </row>
    <row r="38" spans="1:5" hidden="1">
      <c r="A38" s="199"/>
      <c r="B38" s="199"/>
      <c r="C38" s="199"/>
      <c r="D38" s="199"/>
      <c r="E38" s="199"/>
    </row>
    <row r="39" spans="1:5" hidden="1">
      <c r="A39" s="199"/>
      <c r="B39" s="199"/>
      <c r="C39" s="199"/>
      <c r="D39" s="199"/>
      <c r="E39" s="199"/>
    </row>
    <row r="40" spans="1:5" hidden="1">
      <c r="A40" s="199"/>
      <c r="B40" s="199"/>
      <c r="C40" s="199"/>
      <c r="D40" s="199"/>
      <c r="E40" s="199"/>
    </row>
    <row r="41" spans="1:5" hidden="1">
      <c r="A41" s="199"/>
      <c r="B41" s="199"/>
      <c r="C41" s="199"/>
      <c r="D41" s="199"/>
      <c r="E41" s="199"/>
    </row>
    <row r="42" spans="1:5" hidden="1">
      <c r="A42" s="199"/>
      <c r="B42" s="199"/>
      <c r="C42" s="199"/>
      <c r="D42" s="199"/>
      <c r="E42" s="199"/>
    </row>
    <row r="43" spans="1:5" hidden="1">
      <c r="A43" s="199"/>
      <c r="B43" s="199"/>
      <c r="C43" s="199"/>
      <c r="D43" s="199"/>
      <c r="E43" s="199"/>
    </row>
    <row r="44" spans="1:5" hidden="1">
      <c r="A44" s="199"/>
      <c r="B44" s="199"/>
      <c r="C44" s="199"/>
      <c r="D44" s="199"/>
      <c r="E44" s="199"/>
    </row>
    <row r="45" spans="1:5" hidden="1">
      <c r="A45" s="199"/>
      <c r="B45" s="199"/>
      <c r="C45" s="199"/>
      <c r="D45" s="199"/>
      <c r="E45" s="199"/>
    </row>
    <row r="46" spans="1:5" hidden="1">
      <c r="A46" s="199"/>
      <c r="B46" s="199"/>
      <c r="C46" s="199"/>
      <c r="D46" s="199"/>
      <c r="E46" s="199"/>
    </row>
    <row r="47" spans="1:5" hidden="1">
      <c r="A47" s="199"/>
      <c r="B47" s="199"/>
      <c r="C47" s="199"/>
      <c r="D47" s="199"/>
      <c r="E47" s="199"/>
    </row>
    <row r="48" spans="1:5" hidden="1">
      <c r="A48" s="199"/>
      <c r="B48" s="199"/>
      <c r="C48" s="199"/>
      <c r="D48" s="199"/>
      <c r="E48" s="199"/>
    </row>
    <row r="49" spans="1:5" hidden="1">
      <c r="A49" s="199"/>
      <c r="B49" s="199"/>
      <c r="C49" s="199"/>
      <c r="D49" s="199"/>
      <c r="E49" s="199"/>
    </row>
    <row r="50" spans="1:5" hidden="1">
      <c r="A50" s="199"/>
      <c r="B50" s="199"/>
      <c r="C50" s="199"/>
      <c r="D50" s="199"/>
      <c r="E50" s="199"/>
    </row>
    <row r="51" spans="1:5" hidden="1">
      <c r="A51" s="199"/>
      <c r="B51" s="199"/>
      <c r="C51" s="199"/>
      <c r="D51" s="199"/>
      <c r="E51" s="199"/>
    </row>
    <row r="52" spans="1:5" hidden="1">
      <c r="A52" s="199"/>
      <c r="B52" s="199"/>
      <c r="C52" s="199"/>
      <c r="D52" s="199"/>
      <c r="E52" s="199"/>
    </row>
    <row r="53" spans="1:5" hidden="1">
      <c r="A53" s="199"/>
      <c r="B53" s="199"/>
      <c r="C53" s="199"/>
      <c r="D53" s="199"/>
      <c r="E53" s="199"/>
    </row>
    <row r="54" spans="1:5" hidden="1">
      <c r="A54" s="199"/>
      <c r="B54" s="199"/>
      <c r="C54" s="199"/>
      <c r="D54" s="199"/>
      <c r="E54" s="199"/>
    </row>
    <row r="55" spans="1:5" hidden="1">
      <c r="A55" s="199"/>
      <c r="B55" s="199"/>
      <c r="C55" s="199"/>
      <c r="D55" s="199"/>
      <c r="E55" s="199"/>
    </row>
    <row r="56" spans="1:5" hidden="1">
      <c r="A56" s="199"/>
      <c r="B56" s="199"/>
      <c r="C56" s="199"/>
      <c r="D56" s="199"/>
      <c r="E56" s="199"/>
    </row>
    <row r="57" spans="1:5" hidden="1">
      <c r="A57" s="199"/>
      <c r="B57" s="199"/>
      <c r="C57" s="199"/>
      <c r="D57" s="199"/>
      <c r="E57" s="199"/>
    </row>
    <row r="58" spans="1:5" hidden="1">
      <c r="A58" s="199"/>
      <c r="B58" s="199"/>
      <c r="C58" s="199"/>
      <c r="D58" s="199"/>
      <c r="E58" s="199"/>
    </row>
    <row r="59" spans="1:5" hidden="1">
      <c r="A59" s="199"/>
      <c r="B59" s="199"/>
      <c r="C59" s="199"/>
      <c r="D59" s="199"/>
      <c r="E59" s="199"/>
    </row>
    <row r="60" spans="1:5" hidden="1">
      <c r="A60" s="199"/>
      <c r="B60" s="199"/>
      <c r="C60" s="199"/>
      <c r="D60" s="199"/>
      <c r="E60" s="199"/>
    </row>
    <row r="61" spans="1:5" hidden="1">
      <c r="A61" s="199"/>
      <c r="B61" s="199"/>
      <c r="C61" s="199"/>
      <c r="D61" s="199"/>
      <c r="E61" s="199"/>
    </row>
    <row r="62" spans="1:5" hidden="1">
      <c r="A62" s="199"/>
      <c r="B62" s="199"/>
      <c r="C62" s="199"/>
      <c r="D62" s="199"/>
      <c r="E62" s="199"/>
    </row>
    <row r="63" spans="1:5" hidden="1">
      <c r="A63" s="199"/>
      <c r="B63" s="199"/>
      <c r="C63" s="199"/>
      <c r="D63" s="199"/>
      <c r="E63" s="199"/>
    </row>
    <row r="64" spans="1:5" hidden="1">
      <c r="A64" s="199"/>
      <c r="B64" s="199"/>
      <c r="C64" s="199"/>
      <c r="D64" s="199"/>
      <c r="E64" s="199"/>
    </row>
    <row r="65" spans="1:5" hidden="1">
      <c r="A65" s="199"/>
      <c r="B65" s="199"/>
      <c r="C65" s="199"/>
      <c r="D65" s="199"/>
      <c r="E65" s="199"/>
    </row>
    <row r="66" spans="1:5" hidden="1">
      <c r="A66" s="199"/>
      <c r="B66" s="199"/>
      <c r="C66" s="199"/>
      <c r="D66" s="199"/>
      <c r="E66" s="199"/>
    </row>
    <row r="67" spans="1:5" hidden="1">
      <c r="A67" s="199"/>
      <c r="B67" s="199"/>
      <c r="C67" s="199"/>
      <c r="D67" s="199"/>
      <c r="E67" s="199"/>
    </row>
    <row r="68" spans="1:5" hidden="1">
      <c r="A68" s="199"/>
      <c r="B68" s="199"/>
      <c r="C68" s="199"/>
      <c r="D68" s="199"/>
      <c r="E68" s="199"/>
    </row>
    <row r="69" spans="1:5" hidden="1">
      <c r="A69" s="199"/>
      <c r="B69" s="199"/>
      <c r="C69" s="199"/>
      <c r="D69" s="199"/>
      <c r="E69" s="199"/>
    </row>
    <row r="70" spans="1:5" hidden="1">
      <c r="A70" s="199"/>
      <c r="B70" s="199"/>
      <c r="C70" s="199"/>
      <c r="D70" s="199"/>
      <c r="E70" s="199"/>
    </row>
    <row r="71" spans="1:5" hidden="1">
      <c r="A71" s="199"/>
      <c r="B71" s="199"/>
      <c r="C71" s="199"/>
      <c r="D71" s="199"/>
      <c r="E71" s="199"/>
    </row>
    <row r="72" spans="1:5" hidden="1">
      <c r="A72" s="199"/>
      <c r="B72" s="199"/>
      <c r="C72" s="199"/>
      <c r="D72" s="199"/>
      <c r="E72" s="199"/>
    </row>
    <row r="73" spans="1:5" hidden="1">
      <c r="A73" s="199"/>
      <c r="B73" s="199"/>
      <c r="C73" s="199"/>
      <c r="D73" s="199"/>
      <c r="E73" s="199"/>
    </row>
    <row r="74" spans="1:5" hidden="1">
      <c r="A74" s="199"/>
      <c r="B74" s="199"/>
      <c r="C74" s="199"/>
      <c r="D74" s="199"/>
      <c r="E74" s="199"/>
    </row>
    <row r="75" spans="1:5" hidden="1">
      <c r="A75" s="199"/>
      <c r="B75" s="199"/>
      <c r="C75" s="199"/>
      <c r="D75" s="199"/>
      <c r="E75" s="199"/>
    </row>
    <row r="76" spans="1:5" hidden="1">
      <c r="A76" s="199"/>
      <c r="B76" s="199"/>
      <c r="C76" s="199"/>
      <c r="D76" s="199"/>
      <c r="E76" s="199"/>
    </row>
    <row r="77" spans="1:5" hidden="1">
      <c r="A77" s="199"/>
      <c r="B77" s="199"/>
      <c r="C77" s="199"/>
      <c r="D77" s="199"/>
      <c r="E77" s="199"/>
    </row>
    <row r="78" spans="1:5" hidden="1">
      <c r="A78" s="199"/>
      <c r="B78" s="199"/>
      <c r="C78" s="199"/>
      <c r="D78" s="199"/>
      <c r="E78" s="199"/>
    </row>
    <row r="79" spans="1:5" hidden="1">
      <c r="A79" s="199"/>
      <c r="B79" s="199"/>
      <c r="C79" s="199"/>
      <c r="D79" s="199"/>
      <c r="E79" s="199"/>
    </row>
    <row r="80" spans="1:5" hidden="1">
      <c r="A80" s="199"/>
      <c r="B80" s="199"/>
      <c r="C80" s="199"/>
      <c r="D80" s="199"/>
      <c r="E80" s="199"/>
    </row>
    <row r="81" spans="1:5" hidden="1">
      <c r="A81" s="199"/>
      <c r="B81" s="199"/>
      <c r="C81" s="199"/>
      <c r="D81" s="199"/>
      <c r="E81" s="199"/>
    </row>
    <row r="82" spans="1:5" hidden="1">
      <c r="A82" s="199"/>
      <c r="B82" s="199"/>
      <c r="C82" s="199"/>
      <c r="D82" s="199"/>
      <c r="E82" s="199"/>
    </row>
    <row r="83" spans="1:5" hidden="1">
      <c r="A83" s="199"/>
      <c r="B83" s="199"/>
      <c r="C83" s="199"/>
      <c r="D83" s="199"/>
      <c r="E83" s="199"/>
    </row>
    <row r="84" spans="1:5" hidden="1">
      <c r="A84" s="199"/>
      <c r="B84" s="199"/>
      <c r="C84" s="199"/>
      <c r="D84" s="199"/>
      <c r="E84" s="199"/>
    </row>
    <row r="85" spans="1:5" hidden="1">
      <c r="A85" s="199"/>
      <c r="B85" s="199"/>
      <c r="C85" s="199"/>
      <c r="D85" s="199"/>
      <c r="E85" s="199"/>
    </row>
    <row r="86" spans="1:5" hidden="1">
      <c r="A86" s="199"/>
      <c r="B86" s="199"/>
      <c r="C86" s="199"/>
      <c r="D86" s="199"/>
      <c r="E86" s="199"/>
    </row>
    <row r="87" spans="1:5" hidden="1">
      <c r="A87" s="199"/>
      <c r="B87" s="199"/>
      <c r="C87" s="199"/>
      <c r="D87" s="199"/>
      <c r="E87" s="199"/>
    </row>
    <row r="88" spans="1:5" hidden="1">
      <c r="A88" s="199"/>
      <c r="B88" s="199"/>
      <c r="C88" s="199"/>
      <c r="D88" s="199"/>
      <c r="E88" s="199"/>
    </row>
    <row r="89" spans="1:5" hidden="1">
      <c r="A89" s="199"/>
      <c r="B89" s="199"/>
      <c r="C89" s="199"/>
      <c r="D89" s="199"/>
    </row>
    <row r="90" spans="1:5" hidden="1">
      <c r="A90" s="199"/>
      <c r="B90" s="199"/>
      <c r="C90" s="199"/>
      <c r="D90" s="199"/>
    </row>
    <row r="91" spans="1:5" hidden="1">
      <c r="A91" s="199"/>
      <c r="B91" s="199"/>
      <c r="C91" s="199"/>
      <c r="D91" s="199"/>
    </row>
    <row r="92" spans="1:5" hidden="1">
      <c r="A92" s="199"/>
      <c r="B92" s="199"/>
      <c r="C92" s="199"/>
      <c r="D92" s="199"/>
    </row>
    <row r="93" spans="1:5" hidden="1">
      <c r="A93" s="199"/>
      <c r="B93" s="199"/>
      <c r="C93" s="199"/>
      <c r="D93" s="199"/>
    </row>
    <row r="94" spans="1:5" hidden="1">
      <c r="A94" s="199"/>
      <c r="B94" s="199"/>
      <c r="C94" s="199"/>
      <c r="D94" s="199"/>
    </row>
    <row r="95" spans="1:5" hidden="1">
      <c r="A95" s="199"/>
      <c r="B95" s="199"/>
      <c r="C95" s="199"/>
      <c r="D95" s="199"/>
    </row>
    <row r="96" spans="1:5" hidden="1">
      <c r="A96" s="199"/>
      <c r="B96" s="199"/>
      <c r="C96" s="199"/>
      <c r="D96" s="199"/>
    </row>
    <row r="97" spans="1:5" hidden="1">
      <c r="A97" s="199"/>
      <c r="B97" s="199"/>
      <c r="C97" s="199"/>
      <c r="D97" s="199"/>
    </row>
    <row r="98" spans="1:5" hidden="1">
      <c r="A98" s="199"/>
      <c r="B98" s="199"/>
      <c r="C98" s="199"/>
      <c r="D98" s="199"/>
    </row>
    <row r="99" spans="1:5" hidden="1">
      <c r="A99" s="201"/>
      <c r="E99" s="202"/>
    </row>
    <row r="100" spans="1:5" hidden="1">
      <c r="A100" s="200"/>
      <c r="B100" s="199"/>
      <c r="C100" s="199"/>
      <c r="D100" s="199"/>
    </row>
    <row r="101" spans="1:5" ht="28.5" customHeight="1"/>
    <row r="102" spans="1:5" ht="28.5" customHeight="1"/>
  </sheetData>
  <mergeCells count="2">
    <mergeCell ref="B12:B13"/>
    <mergeCell ref="A18:C18"/>
  </mergeCells>
  <conditionalFormatting sqref="E19:E29 E9:E14">
    <cfRule type="cellIs" dxfId="3" priority="4" operator="notEqual">
      <formula>AA9</formula>
    </cfRule>
  </conditionalFormatting>
  <conditionalFormatting sqref="E12:E14">
    <cfRule type="cellIs" dxfId="2" priority="3" operator="notEqual">
      <formula>AA12</formula>
    </cfRule>
  </conditionalFormatting>
  <conditionalFormatting sqref="E29">
    <cfRule type="cellIs" dxfId="1" priority="2" operator="notEqual">
      <formula>AA29</formula>
    </cfRule>
  </conditionalFormatting>
  <conditionalFormatting sqref="E30">
    <cfRule type="cellIs" dxfId="0" priority="1" operator="notEqual">
      <formula>AA30</formula>
    </cfRule>
  </conditionalFormatting>
  <printOptions horizontalCentered="1"/>
  <pageMargins left="0.74803149606299213" right="0.74803149606299213" top="0.35433070866141736" bottom="0.86614173228346458" header="0" footer="0"/>
  <pageSetup paperSize="9" scale="52" orientation="portrait" r:id="rId1"/>
  <headerFooter alignWithMargins="0"/>
  <rowBreaks count="1" manualBreakCount="1">
    <brk id="32" max="16383" man="1"/>
  </rowBreaks>
  <drawing r:id="rId2"/>
</worksheet>
</file>

<file path=docMetadata/LabelInfo.xml><?xml version="1.0" encoding="utf-8"?>
<clbl:labelList xmlns:clbl="http://schemas.microsoft.com/office/2020/mipLabelMetadata">
  <clbl:label id="{736915f3-2f02-4945-8997-f2963298db46}" enabled="1" method="Standard" siteId="{cd99fef8-1cd3-4a2a-9bdf-15531181d65e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</vt:i4>
      </vt:variant>
    </vt:vector>
  </HeadingPairs>
  <TitlesOfParts>
    <vt:vector size="7" baseType="lpstr">
      <vt:lpstr>Portada</vt:lpstr>
      <vt:lpstr>DHL_ConnectPlus_Especial</vt:lpstr>
      <vt:lpstr>VAS_B2BI</vt:lpstr>
      <vt:lpstr>DHL_ConnectPlus_Especial!Print_Area</vt:lpstr>
      <vt:lpstr>Portada!Print_Area</vt:lpstr>
      <vt:lpstr>VAS_B2BI!Print_Area</vt:lpstr>
      <vt:lpstr>DHL_ConnectPlus_Especial!Print_Titles</vt:lpstr>
    </vt:vector>
  </TitlesOfParts>
  <Company>Deutsche Post DHL Group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Carmen Terron (DHL eCom ES)</dc:creator>
  <cp:lastModifiedBy>Carmen Terron (DHL eCom ES)</cp:lastModifiedBy>
  <dcterms:created xsi:type="dcterms:W3CDTF">2025-11-28T15:18:37Z</dcterms:created>
  <dcterms:modified xsi:type="dcterms:W3CDTF">2025-11-28T15:22:00Z</dcterms:modified>
</cp:coreProperties>
</file>