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/>
  <mc:AlternateContent xmlns:mc="http://schemas.openxmlformats.org/markup-compatibility/2006">
    <mc:Choice Requires="x15">
      <x15ac:absPath xmlns:x15ac="http://schemas.microsoft.com/office/spreadsheetml/2010/11/ac" url="https://dpdhl-my.sharepoint.com/personal/c_terron_dhl_com/Documents/Mis documentos D/TARIFAS CLIENTES 2026/"/>
    </mc:Choice>
  </mc:AlternateContent>
  <xr:revisionPtr revIDLastSave="27" documentId="8_{9DCBD596-B7DA-4CB6-AE01-E599076B1E64}" xr6:coauthVersionLast="47" xr6:coauthVersionMax="47" xr10:uidLastSave="{0C92B25D-94D7-42EC-964D-82C0D161D6F7}"/>
  <bookViews>
    <workbookView xWindow="-120" yWindow="-120" windowWidth="24240" windowHeight="13020" activeTab="1" xr2:uid="{0D87BBB0-9B0F-402F-A43B-A6B370B5BE2E}"/>
  </bookViews>
  <sheets>
    <sheet name="Portada" sheetId="1" r:id="rId1"/>
    <sheet name="CONDICIONES ESPECIALES" sheetId="4" r:id="rId2"/>
    <sheet name="Tarifa DHLParcel Europlus Islas" sheetId="2" r:id="rId3"/>
    <sheet name="VAS_B2BD" sheetId="3" r:id="rId4"/>
  </sheets>
  <definedNames>
    <definedName name="ANDALUCIA">#REF!</definedName>
    <definedName name="B">#REF!</definedName>
    <definedName name="BAL">#REF!</definedName>
    <definedName name="BEN">#REF!</definedName>
    <definedName name="CL">#REF!</definedName>
    <definedName name="compe">#REF!</definedName>
    <definedName name="Competencia">#REF!</definedName>
    <definedName name="CONTRACT">#REF!</definedName>
    <definedName name="ContractCodeDOM">#REF!</definedName>
    <definedName name="ContractCodeIB">#REF!</definedName>
    <definedName name="ContractCodeOB">#REF!</definedName>
    <definedName name="ContractCodeTDDIB">#REF!</definedName>
    <definedName name="ContractCodeTDDOB">#REF!</definedName>
    <definedName name="contractslookup">#REF!</definedName>
    <definedName name="Country">#REF!</definedName>
    <definedName name="Countryname">#REF!</definedName>
    <definedName name="Currency">#REF!</definedName>
    <definedName name="Currencyname">#REF!</definedName>
    <definedName name="Customer_name">#REF!</definedName>
    <definedName name="Day_Definite_Value_Added_Services_and_Surcharges">#REF!</definedName>
    <definedName name="DDDOMCONTRACTS">#REF!</definedName>
    <definedName name="DDDOMVOLUMETRIC">#REF!</definedName>
    <definedName name="DDDOMZONING">#REF!</definedName>
    <definedName name="DDINTCONTRACTS">#REF!</definedName>
    <definedName name="DDINTVOLUMETRIC">#REF!</definedName>
    <definedName name="DDINTZONING">#REF!</definedName>
    <definedName name="ecxrates">#REF!</definedName>
    <definedName name="EU">#REF!</definedName>
    <definedName name="EUR">#REF!</definedName>
    <definedName name="Europlus_DOM">#REF!</definedName>
    <definedName name="Europlus_INT">#REF!</definedName>
    <definedName name="Europlus_International">#REF!</definedName>
    <definedName name="Expresser_Benelux_Pallet">#REF!</definedName>
    <definedName name="Expresser_Benelux_Parcel">#REF!</definedName>
    <definedName name="I">#REF!</definedName>
    <definedName name="ImportExpress12TC">#REF!</definedName>
    <definedName name="ImportExpress12TCDiscount">#REF!</definedName>
    <definedName name="IN">#REF!</definedName>
    <definedName name="MON">#REF!</definedName>
    <definedName name="MSP_Comparison">#REF!</definedName>
    <definedName name="NO">#REF!</definedName>
    <definedName name="PAIS">#REF!</definedName>
    <definedName name="Pickup_Location">#REF!</definedName>
    <definedName name="_xlnm.Print_Area" localSheetId="1">'CONDICIONES ESPECIALES'!$A$1:$Z$98</definedName>
    <definedName name="_xlnm.Print_Area" localSheetId="0">Portada!$A$1:$L$80</definedName>
    <definedName name="_xlnm.Print_Area" localSheetId="2">'Tarifa DHLParcel Europlus Islas'!$B$1:$V$60</definedName>
    <definedName name="_xlnm.Print_Area" localSheetId="3">VAS_B2BD!$A$1:$E$42</definedName>
    <definedName name="Printing">#REF!</definedName>
    <definedName name="Productline">#REF!</definedName>
    <definedName name="tariff">#REF!</definedName>
    <definedName name="Tariff_Expiry_Date">#REF!</definedName>
    <definedName name="TDD">#REF!</definedName>
    <definedName name="tdd12premiums">#REF!</definedName>
    <definedName name="tdd9premiums">#REF!</definedName>
    <definedName name="TDDD">#REF!</definedName>
    <definedName name="TDDOMADDER">#REF!</definedName>
    <definedName name="TDDOMCONTRACTS">#REF!</definedName>
    <definedName name="TDDOMVOLUMETRIC">#REF!</definedName>
    <definedName name="TDDOMZONING">#REF!</definedName>
    <definedName name="TDINTADDER">#REF!</definedName>
    <definedName name="TDINTCONTRACTS">#REF!</definedName>
    <definedName name="TDINTVOLUMETRIC">#REF!</definedName>
    <definedName name="TDINTZONING">#REF!</definedName>
    <definedName name="WEIGHTBREAKSLOOKUP">#REF!</definedName>
    <definedName name="ZONAS">#REF!</definedName>
    <definedName name="ZONING_DDDOM">#REF!</definedName>
    <definedName name="ZONING_DDINT">#REF!</definedName>
    <definedName name="ZONING_TDDOM">#REF!</definedName>
    <definedName name="ZONING_TDINT">#REF!</definedName>
    <definedName name="ZONINGLOOKU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7" i="4" l="1"/>
  <c r="C97" i="4"/>
  <c r="G91" i="4"/>
  <c r="G71" i="4"/>
  <c r="G70" i="4"/>
  <c r="J64" i="4"/>
  <c r="J63" i="4"/>
  <c r="J62" i="4"/>
  <c r="C59" i="4"/>
  <c r="D59" i="4" s="1"/>
  <c r="H58" i="4"/>
  <c r="H57" i="4"/>
  <c r="D54" i="4"/>
  <c r="C54" i="4"/>
  <c r="C53" i="4"/>
  <c r="D52" i="4"/>
  <c r="C52" i="4"/>
  <c r="U15" i="4"/>
  <c r="E27" i="3"/>
</calcChain>
</file>

<file path=xl/sharedStrings.xml><?xml version="1.0" encoding="utf-8"?>
<sst xmlns="http://schemas.openxmlformats.org/spreadsheetml/2006/main" count="259" uniqueCount="202">
  <si>
    <t>* Tiempos de tránsito estimados</t>
  </si>
  <si>
    <r>
      <t xml:space="preserve">DIMENSIONES </t>
    </r>
    <r>
      <rPr>
        <b/>
        <vertAlign val="superscript"/>
        <sz val="10"/>
        <rFont val="Calibri"/>
        <family val="2"/>
        <scheme val="minor"/>
      </rPr>
      <t>1</t>
    </r>
  </si>
  <si>
    <t>Min.: 15 x 11 x 3,5 cm</t>
  </si>
  <si>
    <t>Máx. bulto encintable: 120 x 60 x 60 cm</t>
  </si>
  <si>
    <t>Máx. palet: 120 x 120 x 180 cm</t>
  </si>
  <si>
    <t>PESO MÁXIMO</t>
  </si>
  <si>
    <t>Hasta 31,5 kgs para bultos no paletizados</t>
  </si>
  <si>
    <r>
      <t xml:space="preserve">Hasta 1.000 kgs para bultos paletizados </t>
    </r>
    <r>
      <rPr>
        <vertAlign val="superscript"/>
        <sz val="10"/>
        <rFont val="Calibri"/>
        <family val="2"/>
        <scheme val="minor"/>
      </rPr>
      <t>2</t>
    </r>
  </si>
  <si>
    <t>Hasta 5.000 kgs por envío</t>
  </si>
  <si>
    <t>BULTOS POR ENVIO</t>
  </si>
  <si>
    <t>Máx.: 999 bultos</t>
  </si>
  <si>
    <t>Máx.: 10 palets</t>
  </si>
  <si>
    <t>MERCANCÍA VOLUMINOSA</t>
  </si>
  <si>
    <t>Se considera mercancia voluminosa y es facturada como tal, aquella que no supera el ratio de 250 kilogramos por metro cúbico.</t>
  </si>
  <si>
    <r>
      <rPr>
        <vertAlign val="superscript"/>
        <sz val="8"/>
        <rFont val="Calibri"/>
        <family val="2"/>
        <scheme val="minor"/>
      </rPr>
      <t xml:space="preserve">1 </t>
    </r>
    <r>
      <rPr>
        <sz val="8"/>
        <rFont val="Calibri"/>
        <family val="2"/>
        <scheme val="minor"/>
      </rPr>
      <t xml:space="preserve"> Para dimensiones superiores consulte los suplementos.</t>
    </r>
  </si>
  <si>
    <r>
      <rPr>
        <vertAlign val="superscript"/>
        <sz val="8"/>
        <rFont val="Calibri"/>
        <family val="2"/>
        <scheme val="minor"/>
      </rPr>
      <t>2</t>
    </r>
    <r>
      <rPr>
        <sz val="8"/>
        <rFont val="Calibri"/>
        <family val="2"/>
        <scheme val="minor"/>
      </rPr>
      <t xml:space="preserve">  Los bultos que pesen más de 31,5 kg deben ser embalados en un contenedor que se pueda mover con medios mecánicos o estar paletizados y deben ser apilables.</t>
    </r>
  </si>
  <si>
    <r>
      <t xml:space="preserve">DHL PARCEL EUROPLUS DOMÉSTICO 
</t>
    </r>
    <r>
      <rPr>
        <b/>
        <sz val="22"/>
        <color rgb="FFD40511"/>
        <rFont val="Calibri"/>
        <family val="2"/>
        <scheme val="minor"/>
      </rPr>
      <t>OFERTA ECONÓMICA</t>
    </r>
  </si>
  <si>
    <t>DHL Parcel Europlus Doméstico</t>
  </si>
  <si>
    <t>CANARIAS, AZORES Y MADEIRA</t>
  </si>
  <si>
    <t xml:space="preserve">CONSIDERACIONES ESPECIALES </t>
  </si>
  <si>
    <t>HASTA KILOS</t>
  </si>
  <si>
    <r>
      <t xml:space="preserve">AÉREO 
</t>
    </r>
    <r>
      <rPr>
        <b/>
        <sz val="8"/>
        <rFont val="Calibri"/>
        <family val="2"/>
        <scheme val="minor"/>
      </rPr>
      <t>Tenerife, Las Palmas, Funchal, Ponta Delgada</t>
    </r>
  </si>
  <si>
    <r>
      <t xml:space="preserve">MARÍTIMO 
</t>
    </r>
    <r>
      <rPr>
        <b/>
        <sz val="8"/>
        <rFont val="Calibri"/>
        <family val="2"/>
        <scheme val="minor"/>
      </rPr>
      <t>Tenerife, Las Palmas, Funchal, Ponta Delgada</t>
    </r>
  </si>
  <si>
    <t>Reexpedición</t>
  </si>
  <si>
    <t>Reexpedición 
Interislas</t>
  </si>
  <si>
    <t>Más de 1.000 Kg
€ adicional por cada fracción de 100 Kg</t>
  </si>
  <si>
    <t>* Tarifa Neta, descuento ya aplicado en los precios reflejados.</t>
  </si>
  <si>
    <t>** Suplemento por combustible, extracargos e impuestos no incluidos</t>
  </si>
  <si>
    <t xml:space="preserve">Para un volumen mínimo de: </t>
  </si>
  <si>
    <t>envíos/mes</t>
  </si>
  <si>
    <t xml:space="preserve">Peso volumétrico: </t>
  </si>
  <si>
    <t xml:space="preserve"> En el servicio marítimo se aplicará la medida correctora de 250k Kg/m3 y de 200 Kg/m3 en el servicio aéreo.</t>
  </si>
  <si>
    <t>VALIDEZ DE LAS CONDICIONES ECONÓMICAS (*):</t>
  </si>
  <si>
    <t>Desde:</t>
  </si>
  <si>
    <t>Hasta:</t>
  </si>
  <si>
    <t>Publicación de la nueva tarifa</t>
  </si>
  <si>
    <t>Esta oferta tiene una validez de 3 meses desde su presentación:</t>
  </si>
  <si>
    <t xml:space="preserve">(*) Las tarifas se basan en el volumen y perfil de envios proporcionados por el Cliente con anterioridad a este acuerdo. En el supuesto de un recorte de </t>
  </si>
  <si>
    <t xml:space="preserve">los volúmenes previstos (de alguno o todos los productos) de más del 25% en tres (3) meses consecutivos, o un cambio sustancia en el volumen, </t>
  </si>
  <si>
    <t>peso o destino de los envios, DHL se reserva el derecho a ajustar las tarifas con un preaviso de un (1) mes notificado por escrito.</t>
  </si>
  <si>
    <t>A menos que se especifique otra cosa, las tarifas son válidas para los servicios durante el horario operativo estándar designado por DHL y deben excluirse festivos y fines de semana.</t>
  </si>
  <si>
    <t xml:space="preserve">En el caso de que la tasa de inflación exceda el 8%, DHL tendrá el derecho a aplicar un extracargo temporal de inflación con un aviso previo de 30 días, que será aplicable hasta la siguiente revisión de precios. </t>
  </si>
  <si>
    <t>Las tarifas se actualizarán de acuerdo con la subida general de precios ("GPI") de DHL</t>
  </si>
  <si>
    <t xml:space="preserve">Recargos gubernamentales y regulatorios: Cualquier modificación en la legislación vigente y/o decisiones de organizaciones gubernamentales que supongan un aumento de costes </t>
  </si>
  <si>
    <t>para DHL serán repercutidos al Cliente en la proporción correspondiente, con un preaviso escrito de treinta (30) días.</t>
  </si>
  <si>
    <t xml:space="preserve">Situaciones de emergencia: DHL se reserva el derecho a aplicar un suplemento de emergencia para recuperar costes derivados de situaciones temporales de emergencia </t>
  </si>
  <si>
    <t xml:space="preserve">que están fuera del control de DHL y que no hayan podido ser previstas a la firma de este acuerdo. Estos recargos serán temporales y se aplicarán con carácter adicional a la tarifa. </t>
  </si>
  <si>
    <t>El Cliente recibirá un preaviso de ocho (8) días a través de la página web si se diera un recargo de emergencia, describiendo las razones de dicho recargo.</t>
  </si>
  <si>
    <t>Con la firma de este acuerdo se aceptan los Servicios de Valor Añadido y Suplementos, así como las Consideraciones Específicas del Producto.</t>
  </si>
  <si>
    <t>Se aplicarán los Términos y Condiciones de DHL Parcel que están disponibles en la página web www.dhlparcel.es, que el cliente manifiesta conocer y aceptar.</t>
  </si>
  <si>
    <t>ACUERDO</t>
  </si>
  <si>
    <t>Conforme Cliente</t>
  </si>
  <si>
    <t xml:space="preserve">Conforme DHL </t>
  </si>
  <si>
    <t>Nombre:</t>
  </si>
  <si>
    <t>Fecha:</t>
  </si>
  <si>
    <t>Firma:</t>
  </si>
  <si>
    <t xml:space="preserve">DHL PARCEL EUROPLUS DOMÉSTICO </t>
  </si>
  <si>
    <t>SERVICIOS DE VALOR AÑADIDO Y SUPLEMENTOS</t>
  </si>
  <si>
    <t>SERVICIOS DE VALOR AÑADIDO</t>
  </si>
  <si>
    <t xml:space="preserve">Servicio </t>
  </si>
  <si>
    <t>Definición</t>
  </si>
  <si>
    <t>Precios 2026</t>
  </si>
  <si>
    <t>SEGURO A TODO RIESGO</t>
  </si>
  <si>
    <t>Opción de asegurar los envíos mediante un Seguro a Todo Riesgo</t>
  </si>
  <si>
    <t>1% del valor declarado</t>
  </si>
  <si>
    <t>Valor Máximo por envío
100.000 €</t>
  </si>
  <si>
    <t>Prima mínima por envío
6,00 €</t>
  </si>
  <si>
    <t xml:space="preserve">  ADUANAS</t>
  </si>
  <si>
    <t>Gestión Aduanera a Ceuta, Melilla, Gibraltar y Andorra</t>
  </si>
  <si>
    <t>Gestión Aduanera a Canarias</t>
  </si>
  <si>
    <t>Gestión aduanera de exportación a Canarias con T2LF y 
valor de mercancía inferior a 6.000€</t>
  </si>
  <si>
    <t>ADMINISTRACIÓN TASAS ADUANAS</t>
  </si>
  <si>
    <t>Cargo en concepto de reversión a origen de gastos de aduanas generados en destino</t>
  </si>
  <si>
    <t>SERVICIO CONTRA-REEMBOLSO</t>
  </si>
  <si>
    <t>Pago contra-reembolso de sus mercancías</t>
  </si>
  <si>
    <t>5% del valor declarado</t>
  </si>
  <si>
    <t>Valor Máximo por envío: 5.000 €</t>
  </si>
  <si>
    <t>Destino ES: Min  4,5 € Máx 150,00 €</t>
  </si>
  <si>
    <t>Destino PT: Min 15,00 € Máx 150,00 €</t>
  </si>
  <si>
    <t xml:space="preserve">DEVOLUCIÓN DE ALBARANES FIRMADOS POR EL DESTINATARIO </t>
  </si>
  <si>
    <t>Devolución de sus propios albaranes firmados por el destinatario</t>
  </si>
  <si>
    <t>TERCER INTENTO DE ENTREGA</t>
  </si>
  <si>
    <t xml:space="preserve">DHL realiza hasta tres intentos de entrega de sus mercancías si por causas ajenas no se pudiera entregar a la llegada del vehículo a destino </t>
  </si>
  <si>
    <t>Tarifa de reexpedición</t>
  </si>
  <si>
    <r>
      <t xml:space="preserve">RECOGIDA NO ESTÁNDAR </t>
    </r>
    <r>
      <rPr>
        <vertAlign val="superscript"/>
        <sz val="11"/>
        <rFont val="Calibri"/>
        <family val="2"/>
        <scheme val="minor"/>
      </rPr>
      <t>1</t>
    </r>
  </si>
  <si>
    <t>Servicio de recogida en sábados o fuera del horario habitual, con un suplemento por recogida</t>
  </si>
  <si>
    <t>Consulte con su gestor comercial</t>
  </si>
  <si>
    <t>RECOGIDA EN OTRA PROVINCIA</t>
  </si>
  <si>
    <t>Servicio de recogida en un origen distinto al de su ubicación habitual, con un suplemento por recogida</t>
  </si>
  <si>
    <t xml:space="preserve">SERVICIO PRE 13:30 </t>
  </si>
  <si>
    <t>Servicio de entregas garantizadas antes de las 13:30 pm del día hábil siguiente a su recogida.  Disponible para ciertos códigos postales con  origen y destino España</t>
  </si>
  <si>
    <t>30% sobre porte neto</t>
  </si>
  <si>
    <t xml:space="preserve">    SUPLEMENTOS</t>
  </si>
  <si>
    <t>Suplemento</t>
  </si>
  <si>
    <t>Precios 2025</t>
  </si>
  <si>
    <t>SUPLEMENTO POR COMBUSTIBLE</t>
  </si>
  <si>
    <t>% Variable que se aplica sobre la facturación total de "Portes+Re-expedición" para compensar la fluctuación de los precios del gasóleo</t>
  </si>
  <si>
    <t>Según % mensual aplicable, actualizado en  www.dhlparcel.es</t>
  </si>
  <si>
    <t>BULTO NO CINTABLE</t>
  </si>
  <si>
    <r>
      <t>Aplicable a bultos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con peso hasta 31 kg y con alguna de sus dimensiones superior a 120 x 60 x 60 cm, o que por sus características requieran de clasificación manual</t>
    </r>
    <r>
      <rPr>
        <vertAlign val="superscript"/>
        <sz val="11"/>
        <rFont val="Calibri"/>
        <family val="2"/>
        <scheme val="minor"/>
      </rPr>
      <t>3</t>
    </r>
  </si>
  <si>
    <t>1,20€ por bulto</t>
  </si>
  <si>
    <t>PALLET NO ESTÁNDAR</t>
  </si>
  <si>
    <r>
      <t>Aplicable a envíos con algún bulto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con peso superior a 31 kg cuando alguna de sus dimensiones sea superior a 120x120x180 cm o no estén paletizados o no sean apilables.</t>
    </r>
  </si>
  <si>
    <t>30% sobre porte neto
Mínimo 10€</t>
  </si>
  <si>
    <t>BULTO LARGO O VOLUMINOSO</t>
  </si>
  <si>
    <t>Aplicable a envíos con alguna de sus dimensiones superior a 180 cm o cuando el volumen del envío sea superior a 0,5 metros cúbicos.</t>
  </si>
  <si>
    <t>ENVÍO CON EXCESO DE PESO</t>
  </si>
  <si>
    <t>Aplicable a envíos de más de 1.000 kgs</t>
  </si>
  <si>
    <r>
      <t xml:space="preserve">MD3 </t>
    </r>
    <r>
      <rPr>
        <vertAlign val="superscript"/>
        <sz val="11"/>
        <rFont val="Calibri"/>
        <family val="2"/>
        <scheme val="minor"/>
      </rPr>
      <t xml:space="preserve"> 1</t>
    </r>
  </si>
  <si>
    <t>Aplicable a envíos en los que uno de sus bultos tenga una medida superior a los 3 metros</t>
  </si>
  <si>
    <t>30% sobre porte neto
Mínimo 75€</t>
  </si>
  <si>
    <t>ENTREGA EN GRANDES SUPERFICIES (G.S)</t>
  </si>
  <si>
    <t>Aplicable a envíos entregados en GS que requieran gestión adicional de cita concertada, largo tiempo de entrega, etc</t>
  </si>
  <si>
    <t>10% sobre porte neto
Mínimo 3,5 €</t>
  </si>
  <si>
    <t>BAJA DENSIDAD</t>
  </si>
  <si>
    <t>Aplicable a envíos entregados en áreas remotas. Consultar códigos postales sujetos en www.dhlparcel.es</t>
  </si>
  <si>
    <t>20% sobre porte neto
Mínimo 3,5€</t>
  </si>
  <si>
    <t>REEXPEDICIÓN</t>
  </si>
  <si>
    <t>Aplicable a envíos entregados en una localidad distinta a la capital de provincia. Consultar localidades exentas en www.dhlparcel.es</t>
  </si>
  <si>
    <t>SUPLEMENTO MARÍTIMO (IMO 2020)</t>
  </si>
  <si>
    <t>Aplicable a envíos en los que el transporte o parte del mismo se realice por vía marítima</t>
  </si>
  <si>
    <t>Consultar tarifa aplicable en www.dhlecommerce.es</t>
  </si>
  <si>
    <t>PLATAFORMA FACTURACIÓN CLIENTES</t>
  </si>
  <si>
    <t>Servicio de envío de facturas de DHL a plataformas externas de clientes, no compatible con nuestro servicio E-billing</t>
  </si>
  <si>
    <t>1€ por factura</t>
  </si>
  <si>
    <t>DOCUMENTACION MANUAL</t>
  </si>
  <si>
    <t>Aplicable a envíos documentados con albaranes manuales que no se generan a través de nuestros sistemas informáticos</t>
  </si>
  <si>
    <r>
      <t>1,00€ por la primera pieza, más 0,25€ por pieza adicional</t>
    </r>
    <r>
      <rPr>
        <vertAlign val="superscript"/>
        <sz val="11"/>
        <rFont val="Calibri"/>
        <family val="2"/>
        <scheme val="minor"/>
      </rPr>
      <t>2</t>
    </r>
  </si>
  <si>
    <t>1,00€ por la primera pieza, más 0,25€ por pieza adicional2</t>
  </si>
  <si>
    <r>
      <rPr>
        <vertAlign val="superscript"/>
        <sz val="11"/>
        <rFont val="Calibri"/>
        <family val="2"/>
        <scheme val="minor"/>
      </rPr>
      <t xml:space="preserve">1 </t>
    </r>
    <r>
      <rPr>
        <sz val="11"/>
        <rFont val="Calibri"/>
        <family val="2"/>
        <scheme val="minor"/>
      </rPr>
      <t>Sujeto a disponibilidad del servicio. En cualquier caso, DHL eCommerce no transportará bultos2 con alguna dimensión superior a 4 metros</t>
    </r>
  </si>
  <si>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Bultos o pallets</t>
    </r>
  </si>
  <si>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 La mercancía deberá estar embalada de acuerdo con la Guía de Embalaje de DHL
eCommerce, disponible en www.dhlecommerce.es</t>
    </r>
  </si>
  <si>
    <t>DHL PARCEL EUROPLUS DOMÉSTICO</t>
  </si>
  <si>
    <t>OFERTA ECONÓMICA</t>
  </si>
  <si>
    <t>DATOS GENERALES CLIENTE</t>
  </si>
  <si>
    <t>,</t>
  </si>
  <si>
    <t>Nombre del Cliente</t>
  </si>
  <si>
    <t>Número de cuenta</t>
  </si>
  <si>
    <t>Persona de contacto</t>
  </si>
  <si>
    <t xml:space="preserve">Tarifas de Aplicación desde </t>
  </si>
  <si>
    <t xml:space="preserve"> a nivel Nacional / Peninsular </t>
  </si>
  <si>
    <t>Mapa de Aplicación de Tarifas desde</t>
  </si>
  <si>
    <t xml:space="preserve">SALIDAS PAGADAS </t>
  </si>
  <si>
    <t>X</t>
  </si>
  <si>
    <t>LLEGADAS DEBIDAS</t>
  </si>
  <si>
    <t xml:space="preserve"> </t>
  </si>
  <si>
    <t>KILOS</t>
  </si>
  <si>
    <t>% Seg</t>
  </si>
  <si>
    <t>€ x Kg</t>
  </si>
  <si>
    <t>Max./ envio</t>
  </si>
  <si>
    <t>el valor IPEM vigente</t>
  </si>
  <si>
    <t>1/3 del IPREM</t>
  </si>
  <si>
    <t>Más de 1000kg 
€ adicional por cada
fracción de 100kg</t>
  </si>
  <si>
    <t>SERVICIO CANARIAS</t>
  </si>
  <si>
    <t>Descuento en Portes</t>
  </si>
  <si>
    <r>
      <t xml:space="preserve">% Dto en Recogidas en otra provincia </t>
    </r>
    <r>
      <rPr>
        <b/>
        <vertAlign val="superscript"/>
        <sz val="11"/>
        <rFont val="Calibri"/>
        <family val="2"/>
        <scheme val="minor"/>
      </rPr>
      <t>3</t>
    </r>
    <r>
      <rPr>
        <b/>
        <sz val="11"/>
        <rFont val="Calibri"/>
        <family val="2"/>
        <scheme val="minor"/>
      </rPr>
      <t>:</t>
    </r>
  </si>
  <si>
    <t>CANARIAS AÉREO</t>
  </si>
  <si>
    <t>CANARIAS MARÍTIMO</t>
  </si>
  <si>
    <r>
      <rPr>
        <vertAlign val="superscript"/>
        <sz val="12"/>
        <rFont val="Calibri"/>
        <family val="2"/>
        <scheme val="minor"/>
      </rPr>
      <t>1</t>
    </r>
    <r>
      <rPr>
        <sz val="12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Zonas que actúan como reexpediciones especiales. </t>
    </r>
    <r>
      <rPr>
        <vertAlign val="superscript"/>
        <sz val="12"/>
        <rFont val="Calibri"/>
        <family val="2"/>
        <scheme val="minor"/>
      </rPr>
      <t>2</t>
    </r>
    <r>
      <rPr>
        <sz val="10"/>
        <rFont val="Calibri"/>
        <family val="2"/>
        <scheme val="minor"/>
      </rPr>
      <t xml:space="preserve"> Excepto las Reexp. Especiales a Andorra, Formentera, Ceuta, Melilla, Gibraltar e Interislas. </t>
    </r>
  </si>
  <si>
    <r>
      <rPr>
        <vertAlign val="superscript"/>
        <sz val="12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Dto sobre tarifa publicada de la provincia de origen, aplicable a envíos con recogida y entrega en provincias distintas de la del cliente</t>
    </r>
  </si>
  <si>
    <r>
      <rPr>
        <sz val="11"/>
        <rFont val="Calibri"/>
        <family val="2"/>
        <scheme val="minor"/>
      </rPr>
      <t xml:space="preserve">Se aplicará un </t>
    </r>
    <r>
      <rPr>
        <b/>
        <sz val="16"/>
        <color rgb="FFFF0000"/>
        <rFont val="Frutiger"/>
        <family val="2"/>
      </rPr>
      <t/>
    </r>
  </si>
  <si>
    <t>sobre el precio de los portes reflejados en la</t>
  </si>
  <si>
    <t xml:space="preserve">en concepto de mejora de cobertura de responsabilidad. </t>
  </si>
  <si>
    <t xml:space="preserve">Nuestra responsabilidad por daños, pérdidas o averías que sufran las mercancías está limitada hasta </t>
  </si>
  <si>
    <t xml:space="preserve">con un máximo de  </t>
  </si>
  <si>
    <r>
      <t>SUPLEMENTO POR COMBUSTIBLE</t>
    </r>
    <r>
      <rPr>
        <sz val="12"/>
        <rFont val="Calibri"/>
        <family val="2"/>
        <scheme val="minor"/>
      </rPr>
      <t xml:space="preserve"> </t>
    </r>
    <r>
      <rPr>
        <b/>
        <sz val="12"/>
        <rFont val="Calibri"/>
        <family val="2"/>
        <scheme val="minor"/>
      </rPr>
      <t>Y EXTRACARGOS NO INCLUIDOS.</t>
    </r>
  </si>
  <si>
    <r>
      <t>MERCANCÍAS VOLUMINOSAS:</t>
    </r>
    <r>
      <rPr>
        <sz val="12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Se aplicará la medida correctora de: </t>
    </r>
    <r>
      <rPr>
        <b/>
        <sz val="14"/>
        <color indexed="10"/>
        <rFont val="Frutiger"/>
        <family val="2"/>
      </rPr>
      <t/>
    </r>
  </si>
  <si>
    <t>Tramos kilos</t>
  </si>
  <si>
    <r>
      <t xml:space="preserve">Ratio Volumétrico </t>
    </r>
    <r>
      <rPr>
        <b/>
        <vertAlign val="superscript"/>
        <sz val="12"/>
        <rFont val="Calibri"/>
        <family val="2"/>
        <scheme val="minor"/>
      </rPr>
      <t>4</t>
    </r>
  </si>
  <si>
    <t>Hasta</t>
  </si>
  <si>
    <r>
      <rPr>
        <vertAlign val="superscript"/>
        <sz val="10"/>
        <rFont val="Calibri"/>
        <family val="2"/>
        <scheme val="minor"/>
      </rPr>
      <t>4</t>
    </r>
    <r>
      <rPr>
        <sz val="10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>aplicable en los tráficos de salidas</t>
    </r>
  </si>
  <si>
    <t>A Canarias via aérea se considerará el ratio de 200 kg/m3; en envíos a Canarias via marítima y a los destinos especiales Andorra, Ceuta, Melilla y Gibraltar, se aplicará la medida correctora de 250kg/m3</t>
  </si>
  <si>
    <r>
      <t>MÍNIMOS DE PERCEPCIÓN</t>
    </r>
    <r>
      <rPr>
        <sz val="12"/>
        <rFont val="Calibri"/>
        <family val="2"/>
        <scheme val="minor"/>
      </rPr>
      <t xml:space="preserve">:  </t>
    </r>
    <r>
      <rPr>
        <sz val="11"/>
        <rFont val="Calibri"/>
        <family val="2"/>
        <scheme val="minor"/>
      </rPr>
      <t>El importe de cualquier fracción será siempre superior al de su anterior en kilogramos.</t>
    </r>
  </si>
  <si>
    <t xml:space="preserve">VOLUMEN MÍNIMO DE NEGOCIO </t>
  </si>
  <si>
    <t>Envios /mes:</t>
  </si>
  <si>
    <t>Facturación /mes:</t>
  </si>
  <si>
    <t>FORMA DE PAGO:</t>
  </si>
  <si>
    <r>
      <t xml:space="preserve">VALIDEZ DE LAS CONDICIONES ECONÓMICAS </t>
    </r>
    <r>
      <rPr>
        <b/>
        <vertAlign val="superscript"/>
        <sz val="12"/>
        <rFont val="Calibri"/>
        <family val="2"/>
        <scheme val="minor"/>
      </rPr>
      <t>5</t>
    </r>
    <r>
      <rPr>
        <b/>
        <sz val="12"/>
        <rFont val="Calibri"/>
        <family val="2"/>
        <scheme val="minor"/>
      </rPr>
      <t>:</t>
    </r>
  </si>
  <si>
    <r>
      <rPr>
        <vertAlign val="superscript"/>
        <sz val="12"/>
        <rFont val="Calibri"/>
        <family val="2"/>
        <scheme val="minor"/>
      </rPr>
      <t>5</t>
    </r>
    <r>
      <rPr>
        <sz val="11"/>
        <rFont val="Calibri"/>
        <family val="2"/>
        <scheme val="minor"/>
      </rPr>
      <t xml:space="preserve"> Las tarifas se basan en el volumen y perfil de envios proporcionados por el Cliente con anterioridad a este acuerdo. En el supuesto de un recorte de los volúmenes previstos (de
   alguno o todos los productos) de más del 25% en tres (3) meses consecutivos, o un cambio sustancia en el volumen, peso o destino de los envios, DHL se reserva el derecho a ajustar   
   las tarifas con un preaviso de un (1) mes notificado por escrito.</t>
    </r>
  </si>
  <si>
    <t>Se aplicarán los Términos y Condiciones de DHL eCommerce que están disponibles en la página web www.dhlecommerce.es, que el cliente manifiesta conocer y aceptar.</t>
  </si>
  <si>
    <t>Esta oferta tiene una validez de 3 meses desde la fecha de su presentación, hasta el:</t>
  </si>
  <si>
    <t>s/ Tarifa Neta</t>
  </si>
  <si>
    <t>ZONA 1</t>
  </si>
  <si>
    <t>ZONA 2</t>
  </si>
  <si>
    <t>ZONA 3</t>
  </si>
  <si>
    <t>Sevilla</t>
  </si>
  <si>
    <t>ZONA 5</t>
  </si>
  <si>
    <t>ZONA 6</t>
  </si>
  <si>
    <t>ZONA 7</t>
  </si>
  <si>
    <t>ZONA 8</t>
  </si>
  <si>
    <t>ZONA 9</t>
  </si>
  <si>
    <t>REEXP.</t>
  </si>
  <si>
    <t>MAMPARAS DOCCIA, SL-PALETS-</t>
  </si>
  <si>
    <t>ZONA 3  (1)</t>
  </si>
  <si>
    <t>ZONA 8  (1)</t>
  </si>
  <si>
    <t>10% DTO.Según % mensual aplicable, actualizado en  www.dhlparcel.es</t>
  </si>
  <si>
    <t>ALMERIA</t>
  </si>
  <si>
    <t>CREAL</t>
  </si>
  <si>
    <t>CACERES</t>
  </si>
  <si>
    <t>VALENCIA</t>
  </si>
  <si>
    <t>JAEN</t>
  </si>
  <si>
    <t>GRANADA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</si>
</sst>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General_)"/>
    <numFmt numFmtId="165" formatCode="#,##0\ &quot;kg/m3&quot;"/>
    <numFmt numFmtId="166" formatCode="#,##0\ &quot;kg&quot;"/>
    <numFmt numFmtId="167" formatCode="[$-C0A]d\ &quot;de&quot;\ mmmm\ &quot;de&quot;\ yyyy;@"/>
    <numFmt numFmtId="168" formatCode="#,##0.00\ &quot;€&quot;"/>
    <numFmt numFmtId="169" formatCode="#,##0.00\ &quot;€ por kilo transportado&quot;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color rgb="FFC00000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20"/>
      <name val="Calibri"/>
      <family val="2"/>
    </font>
    <font>
      <b/>
      <sz val="10"/>
      <name val="Arial"/>
      <family val="2"/>
    </font>
    <font>
      <sz val="18"/>
      <color rgb="FFC00000"/>
      <name val="Frutiger 55 Roman"/>
      <family val="2"/>
    </font>
    <font>
      <b/>
      <sz val="30"/>
      <color rgb="FFC00000"/>
      <name val="Frutiger 57 Cn"/>
      <family val="3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sz val="10"/>
      <name val="Arial CE"/>
      <charset val="238"/>
    </font>
    <font>
      <b/>
      <sz val="10"/>
      <name val="Delivery"/>
      <family val="2"/>
    </font>
    <font>
      <b/>
      <vertAlign val="superscript"/>
      <sz val="10"/>
      <name val="Calibri"/>
      <family val="2"/>
      <scheme val="minor"/>
    </font>
    <font>
      <sz val="10"/>
      <name val="Calibri"/>
      <family val="2"/>
      <scheme val="minor"/>
    </font>
    <font>
      <vertAlign val="superscript"/>
      <sz val="10"/>
      <name val="Calibri"/>
      <family val="2"/>
      <scheme val="minor"/>
    </font>
    <font>
      <sz val="8"/>
      <name val="Calibri"/>
      <family val="2"/>
      <scheme val="minor"/>
    </font>
    <font>
      <vertAlign val="superscript"/>
      <sz val="8"/>
      <name val="Calibri"/>
      <family val="2"/>
      <scheme val="minor"/>
    </font>
    <font>
      <sz val="7"/>
      <name val="Calibri"/>
      <family val="2"/>
      <scheme val="minor"/>
    </font>
    <font>
      <sz val="6"/>
      <name val="Calibri"/>
      <family val="2"/>
      <scheme val="minor"/>
    </font>
    <font>
      <sz val="6"/>
      <name val="Cambria"/>
      <family val="2"/>
      <scheme val="major"/>
    </font>
    <font>
      <b/>
      <sz val="14"/>
      <name val="Calibri"/>
      <family val="2"/>
      <scheme val="minor"/>
    </font>
    <font>
      <sz val="24"/>
      <color rgb="FFD40511"/>
      <name val="Calibri"/>
      <family val="2"/>
      <scheme val="minor"/>
    </font>
    <font>
      <b/>
      <sz val="22"/>
      <color rgb="FFD405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3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7"/>
      <name val="Calibri"/>
      <family val="2"/>
      <scheme val="minor"/>
    </font>
    <font>
      <b/>
      <sz val="16"/>
      <color indexed="10"/>
      <name val="Calibri"/>
      <family val="2"/>
      <scheme val="minor"/>
    </font>
    <font>
      <b/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C0000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b/>
      <sz val="24"/>
      <color rgb="FFD40511"/>
      <name val="Calibri"/>
      <family val="2"/>
      <scheme val="minor"/>
    </font>
    <font>
      <b/>
      <sz val="24"/>
      <color rgb="FFC00000"/>
      <name val="Calibri"/>
      <family val="2"/>
      <scheme val="minor"/>
    </font>
    <font>
      <b/>
      <sz val="22"/>
      <color rgb="FFC0000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name val="Calibri"/>
      <family val="2"/>
      <scheme val="minor"/>
    </font>
    <font>
      <sz val="24"/>
      <color rgb="FFC00000"/>
      <name val="Calibri"/>
      <family val="2"/>
      <scheme val="minor"/>
    </font>
    <font>
      <b/>
      <sz val="26"/>
      <name val="Calibri"/>
      <family val="2"/>
      <scheme val="minor"/>
    </font>
    <font>
      <sz val="22"/>
      <color rgb="FFC0000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indexed="10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Delivery"/>
      <family val="2"/>
    </font>
    <font>
      <b/>
      <vertAlign val="superscript"/>
      <sz val="11"/>
      <name val="Calibri"/>
      <family val="2"/>
      <scheme val="minor"/>
    </font>
    <font>
      <vertAlign val="superscript"/>
      <sz val="12"/>
      <name val="Calibri"/>
      <family val="2"/>
      <scheme val="minor"/>
    </font>
    <font>
      <sz val="9"/>
      <name val="Delivery"/>
      <family val="2"/>
    </font>
    <font>
      <b/>
      <sz val="16"/>
      <color rgb="FFFF0000"/>
      <name val="Frutiger"/>
      <family val="2"/>
    </font>
    <font>
      <b/>
      <sz val="12"/>
      <color indexed="10"/>
      <name val="Calibri"/>
      <family val="2"/>
      <scheme val="minor"/>
    </font>
    <font>
      <b/>
      <sz val="14"/>
      <color indexed="10"/>
      <name val="Frutiger"/>
      <family val="2"/>
    </font>
    <font>
      <b/>
      <vertAlign val="superscript"/>
      <sz val="12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2"/>
      <color indexed="12"/>
      <name val="Calibri"/>
      <family val="2"/>
      <scheme val="minor"/>
    </font>
    <font>
      <sz val="12"/>
      <color indexed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00"/>
        <bgColor indexed="64"/>
      </patternFill>
    </fill>
    <fill>
      <gradientFill degree="270">
        <stop position="0">
          <color theme="0"/>
        </stop>
        <stop position="1">
          <color rgb="FFFFCC00"/>
        </stop>
      </gradientFill>
    </fill>
    <fill>
      <patternFill patternType="solid">
        <fgColor rgb="FFFFC000"/>
        <bgColor indexed="64"/>
      </patternFill>
    </fill>
    <fill>
      <gradientFill degree="90">
        <stop position="0">
          <color theme="0"/>
        </stop>
        <stop position="1">
          <color rgb="FFFFCC00"/>
        </stop>
      </gradientFill>
    </fill>
    <fill>
      <patternFill patternType="solid">
        <fgColor rgb="FFFFEA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FFC000"/>
      </top>
      <bottom/>
      <diagonal/>
    </border>
    <border>
      <left/>
      <right/>
      <top/>
      <bottom style="thick">
        <color theme="0"/>
      </bottom>
      <diagonal/>
    </border>
    <border>
      <left/>
      <right/>
      <top/>
      <bottom style="medium">
        <color rgb="FFC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medium">
        <color rgb="FFC00000"/>
      </top>
      <bottom style="thin">
        <color theme="0"/>
      </bottom>
      <diagonal/>
    </border>
    <border>
      <left style="thin">
        <color indexed="9"/>
      </left>
      <right/>
      <top style="thin">
        <color indexed="9"/>
      </top>
      <bottom style="thin">
        <color theme="0" tint="-0.24994659260841701"/>
      </bottom>
      <diagonal/>
    </border>
    <border>
      <left/>
      <right/>
      <top style="thin">
        <color indexed="9"/>
      </top>
      <bottom style="thin">
        <color theme="0" tint="-0.24994659260841701"/>
      </bottom>
      <diagonal/>
    </border>
    <border>
      <left style="thin">
        <color indexed="9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9"/>
      </left>
      <right style="thin">
        <color indexed="9"/>
      </right>
      <top/>
      <bottom style="medium">
        <color rgb="FFC0000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FFC000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medium">
        <color indexed="9"/>
      </left>
      <right/>
      <top style="thin">
        <color indexed="9"/>
      </top>
      <bottom/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thin">
        <color rgb="FFFFC000"/>
      </right>
      <top style="thin">
        <color indexed="9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/>
      <bottom style="thin">
        <color rgb="FFFFC000"/>
      </bottom>
      <diagonal/>
    </border>
    <border>
      <left style="thin">
        <color rgb="FFFFC000"/>
      </left>
      <right/>
      <top style="thin">
        <color indexed="9"/>
      </top>
      <bottom style="thin">
        <color rgb="FFFFC000"/>
      </bottom>
      <diagonal/>
    </border>
    <border>
      <left/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/>
      <right style="thin">
        <color rgb="FFFFC000"/>
      </right>
      <top style="thin">
        <color rgb="FFFFC000"/>
      </top>
      <bottom style="medium">
        <color indexed="9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 style="thin">
        <color rgb="FFFFC000"/>
      </top>
      <bottom style="medium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4" fillId="0" borderId="0" applyFont="0" applyFill="0" applyBorder="0" applyAlignment="0" applyProtection="0"/>
    <xf numFmtId="0" fontId="4" fillId="0" borderId="0"/>
    <xf numFmtId="0" fontId="13" fillId="0" borderId="0"/>
    <xf numFmtId="0" fontId="4" fillId="0" borderId="0"/>
    <xf numFmtId="0" fontId="1" fillId="0" borderId="0"/>
    <xf numFmtId="0" fontId="4" fillId="0" borderId="0"/>
  </cellStyleXfs>
  <cellXfs count="272">
    <xf numFmtId="0" fontId="0" fillId="0" borderId="0" xfId="0"/>
    <xf numFmtId="0" fontId="4" fillId="2" borderId="0" xfId="2" applyFill="1"/>
    <xf numFmtId="0" fontId="5" fillId="2" borderId="0" xfId="2" applyFont="1" applyFill="1"/>
    <xf numFmtId="9" fontId="4" fillId="2" borderId="0" xfId="2" applyNumberFormat="1" applyFill="1"/>
    <xf numFmtId="0" fontId="4" fillId="0" borderId="0" xfId="2"/>
    <xf numFmtId="0" fontId="4" fillId="3" borderId="0" xfId="2" applyFill="1"/>
    <xf numFmtId="0" fontId="4" fillId="4" borderId="0" xfId="2" applyFill="1"/>
    <xf numFmtId="0" fontId="6" fillId="4" borderId="0" xfId="2" applyFont="1" applyFill="1" applyAlignment="1">
      <alignment vertical="top"/>
    </xf>
    <xf numFmtId="0" fontId="6" fillId="4" borderId="0" xfId="2" applyFont="1" applyFill="1"/>
    <xf numFmtId="0" fontId="8" fillId="0" borderId="0" xfId="2" applyFont="1"/>
    <xf numFmtId="0" fontId="9" fillId="0" borderId="0" xfId="2" applyFont="1" applyAlignment="1">
      <alignment vertical="center"/>
    </xf>
    <xf numFmtId="0" fontId="10" fillId="0" borderId="0" xfId="2" applyFont="1"/>
    <xf numFmtId="0" fontId="11" fillId="0" borderId="0" xfId="2" applyFont="1"/>
    <xf numFmtId="0" fontId="12" fillId="0" borderId="0" xfId="2" applyFont="1"/>
    <xf numFmtId="14" fontId="8" fillId="0" borderId="0" xfId="2" applyNumberFormat="1" applyFont="1"/>
    <xf numFmtId="0" fontId="14" fillId="4" borderId="0" xfId="3" applyFont="1" applyFill="1"/>
    <xf numFmtId="0" fontId="14" fillId="4" borderId="0" xfId="3" applyFont="1" applyFill="1" applyAlignment="1">
      <alignment vertical="center"/>
    </xf>
    <xf numFmtId="0" fontId="10" fillId="0" borderId="0" xfId="2" applyFont="1" applyAlignment="1">
      <alignment vertical="top"/>
    </xf>
    <xf numFmtId="0" fontId="10" fillId="0" borderId="1" xfId="2" applyFont="1" applyBorder="1"/>
    <xf numFmtId="0" fontId="16" fillId="0" borderId="0" xfId="2" applyFont="1" applyAlignment="1">
      <alignment horizontal="left" vertical="center"/>
    </xf>
    <xf numFmtId="0" fontId="16" fillId="0" borderId="1" xfId="2" applyFont="1" applyBorder="1" applyAlignment="1">
      <alignment horizontal="left" vertical="center"/>
    </xf>
    <xf numFmtId="0" fontId="16" fillId="0" borderId="0" xfId="2" applyFont="1"/>
    <xf numFmtId="0" fontId="18" fillId="0" borderId="0" xfId="2" applyFont="1" applyAlignment="1">
      <alignment vertical="center"/>
    </xf>
    <xf numFmtId="0" fontId="20" fillId="0" borderId="0" xfId="2" applyFont="1" applyAlignment="1">
      <alignment vertical="center"/>
    </xf>
    <xf numFmtId="0" fontId="20" fillId="0" borderId="0" xfId="2" applyFont="1"/>
    <xf numFmtId="0" fontId="21" fillId="0" borderId="0" xfId="2" applyFont="1"/>
    <xf numFmtId="0" fontId="22" fillId="0" borderId="0" xfId="2" applyFont="1"/>
    <xf numFmtId="0" fontId="23" fillId="0" borderId="0" xfId="2" applyFont="1"/>
    <xf numFmtId="0" fontId="16" fillId="4" borderId="0" xfId="2" applyFont="1" applyFill="1"/>
    <xf numFmtId="0" fontId="11" fillId="4" borderId="0" xfId="3" applyFont="1" applyFill="1"/>
    <xf numFmtId="0" fontId="11" fillId="4" borderId="0" xfId="3" applyFont="1" applyFill="1" applyAlignment="1">
      <alignment vertical="center"/>
    </xf>
    <xf numFmtId="0" fontId="24" fillId="2" borderId="0" xfId="2" applyFont="1" applyFill="1" applyAlignment="1">
      <alignment horizontal="left" vertical="top" wrapText="1"/>
    </xf>
    <xf numFmtId="0" fontId="24" fillId="2" borderId="0" xfId="2" applyFont="1" applyFill="1" applyAlignment="1">
      <alignment vertical="center"/>
    </xf>
    <xf numFmtId="0" fontId="26" fillId="0" borderId="3" xfId="4" applyFont="1" applyBorder="1" applyAlignment="1">
      <alignment horizontal="left" vertical="top"/>
    </xf>
    <xf numFmtId="0" fontId="27" fillId="3" borderId="0" xfId="3" applyFont="1" applyFill="1" applyAlignment="1">
      <alignment vertical="top"/>
    </xf>
    <xf numFmtId="0" fontId="26" fillId="0" borderId="0" xfId="4" applyFont="1" applyAlignment="1">
      <alignment horizontal="left" vertical="top"/>
    </xf>
    <xf numFmtId="164" fontId="28" fillId="0" borderId="4" xfId="2" applyNumberFormat="1" applyFont="1" applyBorder="1"/>
    <xf numFmtId="164" fontId="29" fillId="0" borderId="4" xfId="2" applyNumberFormat="1" applyFont="1" applyBorder="1"/>
    <xf numFmtId="164" fontId="30" fillId="0" borderId="4" xfId="2" applyNumberFormat="1" applyFont="1" applyBorder="1"/>
    <xf numFmtId="164" fontId="30" fillId="0" borderId="0" xfId="2" applyNumberFormat="1" applyFont="1"/>
    <xf numFmtId="164" fontId="11" fillId="3" borderId="0" xfId="2" applyNumberFormat="1" applyFont="1" applyFill="1" applyAlignment="1">
      <alignment horizontal="center" vertical="top" wrapText="1"/>
    </xf>
    <xf numFmtId="0" fontId="11" fillId="0" borderId="8" xfId="2" applyFont="1" applyBorder="1" applyAlignment="1">
      <alignment horizontal="center" vertical="center"/>
    </xf>
    <xf numFmtId="4" fontId="34" fillId="0" borderId="9" xfId="2" applyNumberFormat="1" applyFont="1" applyBorder="1" applyAlignment="1">
      <alignment horizontal="center" vertical="center"/>
    </xf>
    <xf numFmtId="0" fontId="11" fillId="0" borderId="10" xfId="2" applyFont="1" applyBorder="1" applyAlignment="1">
      <alignment horizontal="center" vertical="center"/>
    </xf>
    <xf numFmtId="4" fontId="34" fillId="0" borderId="11" xfId="2" applyNumberFormat="1" applyFont="1" applyBorder="1" applyAlignment="1">
      <alignment horizontal="center" vertical="center"/>
    </xf>
    <xf numFmtId="9" fontId="16" fillId="0" borderId="0" xfId="2" applyNumberFormat="1" applyFont="1"/>
    <xf numFmtId="0" fontId="31" fillId="5" borderId="12" xfId="2" applyFont="1" applyFill="1" applyBorder="1" applyAlignment="1">
      <alignment horizontal="center" wrapText="1"/>
    </xf>
    <xf numFmtId="4" fontId="35" fillId="5" borderId="12" xfId="2" applyNumberFormat="1" applyFont="1" applyFill="1" applyBorder="1" applyAlignment="1">
      <alignment horizontal="center" vertical="center"/>
    </xf>
    <xf numFmtId="0" fontId="16" fillId="0" borderId="0" xfId="2" applyFont="1" applyAlignment="1">
      <alignment horizontal="right"/>
    </xf>
    <xf numFmtId="0" fontId="16" fillId="0" borderId="13" xfId="2" applyFont="1" applyBorder="1" applyProtection="1">
      <protection locked="0"/>
    </xf>
    <xf numFmtId="166" fontId="16" fillId="0" borderId="0" xfId="2" applyNumberFormat="1" applyFont="1" applyAlignment="1">
      <alignment horizontal="left"/>
    </xf>
    <xf numFmtId="0" fontId="36" fillId="0" borderId="0" xfId="2" applyFont="1"/>
    <xf numFmtId="0" fontId="37" fillId="0" borderId="0" xfId="2" applyFont="1"/>
    <xf numFmtId="0" fontId="38" fillId="0" borderId="0" xfId="2" applyFont="1" applyAlignment="1">
      <alignment horizontal="center"/>
    </xf>
    <xf numFmtId="14" fontId="16" fillId="0" borderId="0" xfId="2" applyNumberFormat="1" applyFont="1"/>
    <xf numFmtId="14" fontId="40" fillId="0" borderId="0" xfId="2" applyNumberFormat="1" applyFont="1" applyProtection="1">
      <protection locked="0"/>
    </xf>
    <xf numFmtId="14" fontId="34" fillId="0" borderId="0" xfId="2" applyNumberFormat="1" applyFont="1" applyAlignment="1">
      <alignment horizontal="right"/>
    </xf>
    <xf numFmtId="0" fontId="16" fillId="0" borderId="0" xfId="4" applyFont="1"/>
    <xf numFmtId="0" fontId="16" fillId="0" borderId="0" xfId="2" applyFont="1" applyProtection="1">
      <protection locked="0"/>
    </xf>
    <xf numFmtId="164" fontId="5" fillId="0" borderId="0" xfId="2" applyNumberFormat="1" applyFont="1" applyAlignment="1">
      <alignment vertical="center"/>
    </xf>
    <xf numFmtId="164" fontId="5" fillId="0" borderId="14" xfId="2" applyNumberFormat="1" applyFont="1" applyBorder="1"/>
    <xf numFmtId="164" fontId="5" fillId="0" borderId="14" xfId="2" applyNumberFormat="1" applyFont="1" applyBorder="1" applyAlignment="1">
      <alignment vertical="center"/>
    </xf>
    <xf numFmtId="0" fontId="11" fillId="6" borderId="0" xfId="2" applyFont="1" applyFill="1"/>
    <xf numFmtId="0" fontId="16" fillId="6" borderId="0" xfId="2" applyFont="1" applyFill="1"/>
    <xf numFmtId="0" fontId="16" fillId="0" borderId="0" xfId="2" applyFont="1" applyAlignment="1" applyProtection="1">
      <alignment horizontal="left"/>
      <protection locked="0"/>
    </xf>
    <xf numFmtId="14" fontId="16" fillId="0" borderId="0" xfId="2" applyNumberFormat="1" applyFont="1" applyAlignment="1" applyProtection="1">
      <alignment horizontal="left"/>
      <protection locked="0"/>
    </xf>
    <xf numFmtId="167" fontId="11" fillId="0" borderId="0" xfId="2" applyNumberFormat="1" applyFont="1" applyAlignment="1" applyProtection="1">
      <alignment horizontal="left" wrapText="1"/>
      <protection locked="0"/>
    </xf>
    <xf numFmtId="167" fontId="16" fillId="0" borderId="0" xfId="2" applyNumberFormat="1" applyFont="1" applyAlignment="1">
      <alignment wrapText="1"/>
    </xf>
    <xf numFmtId="164" fontId="41" fillId="2" borderId="0" xfId="2" applyNumberFormat="1" applyFont="1" applyFill="1"/>
    <xf numFmtId="164" fontId="42" fillId="2" borderId="0" xfId="2" applyNumberFormat="1" applyFont="1" applyFill="1"/>
    <xf numFmtId="0" fontId="1" fillId="0" borderId="0" xfId="5"/>
    <xf numFmtId="164" fontId="43" fillId="2" borderId="0" xfId="2" applyNumberFormat="1" applyFont="1" applyFill="1"/>
    <xf numFmtId="0" fontId="44" fillId="0" borderId="0" xfId="5" applyFont="1"/>
    <xf numFmtId="164" fontId="42" fillId="3" borderId="0" xfId="2" applyNumberFormat="1" applyFont="1" applyFill="1" applyAlignment="1">
      <alignment vertical="top"/>
    </xf>
    <xf numFmtId="164" fontId="42" fillId="7" borderId="0" xfId="2" applyNumberFormat="1" applyFont="1" applyFill="1"/>
    <xf numFmtId="164" fontId="45" fillId="7" borderId="0" xfId="2" applyNumberFormat="1" applyFont="1" applyFill="1"/>
    <xf numFmtId="164" fontId="25" fillId="7" borderId="0" xfId="2" applyNumberFormat="1" applyFont="1" applyFill="1" applyAlignment="1">
      <alignment horizontal="left"/>
    </xf>
    <xf numFmtId="164" fontId="25" fillId="7" borderId="0" xfId="2" applyNumberFormat="1" applyFont="1" applyFill="1"/>
    <xf numFmtId="164" fontId="43" fillId="7" borderId="0" xfId="2" applyNumberFormat="1" applyFont="1" applyFill="1" applyAlignment="1">
      <alignment vertical="center"/>
    </xf>
    <xf numFmtId="0" fontId="46" fillId="8" borderId="0" xfId="6" applyFont="1" applyFill="1" applyAlignment="1">
      <alignment horizontal="center" vertical="center" wrapText="1"/>
    </xf>
    <xf numFmtId="0" fontId="47" fillId="0" borderId="0" xfId="5" applyFont="1"/>
    <xf numFmtId="0" fontId="12" fillId="7" borderId="0" xfId="2" applyFont="1" applyFill="1"/>
    <xf numFmtId="0" fontId="12" fillId="7" borderId="0" xfId="2" applyFont="1" applyFill="1" applyAlignment="1">
      <alignment horizontal="left" vertical="center" wrapText="1" indent="1"/>
    </xf>
    <xf numFmtId="0" fontId="12" fillId="7" borderId="14" xfId="6" applyFont="1" applyFill="1" applyBorder="1" applyAlignment="1">
      <alignment horizontal="center" vertical="center" wrapText="1"/>
    </xf>
    <xf numFmtId="0" fontId="12" fillId="7" borderId="15" xfId="2" applyFont="1" applyFill="1" applyBorder="1" applyAlignment="1">
      <alignment horizontal="left" vertical="center" wrapText="1" indent="1"/>
    </xf>
    <xf numFmtId="0" fontId="12" fillId="7" borderId="16" xfId="2" applyFont="1" applyFill="1" applyBorder="1" applyAlignment="1">
      <alignment horizontal="left" vertical="center" wrapText="1"/>
    </xf>
    <xf numFmtId="168" fontId="12" fillId="7" borderId="16" xfId="2" applyNumberFormat="1" applyFont="1" applyFill="1" applyBorder="1" applyAlignment="1">
      <alignment horizontal="center" vertical="center" wrapText="1"/>
    </xf>
    <xf numFmtId="168" fontId="12" fillId="7" borderId="0" xfId="2" applyNumberFormat="1" applyFont="1" applyFill="1" applyAlignment="1">
      <alignment horizontal="center" vertical="center" wrapText="1"/>
    </xf>
    <xf numFmtId="0" fontId="12" fillId="7" borderId="16" xfId="2" applyFont="1" applyFill="1" applyBorder="1" applyAlignment="1">
      <alignment horizontal="left" vertical="center" wrapText="1" indent="1"/>
    </xf>
    <xf numFmtId="0" fontId="12" fillId="7" borderId="15" xfId="2" applyFont="1" applyFill="1" applyBorder="1" applyAlignment="1">
      <alignment horizontal="left" vertical="center" wrapText="1"/>
    </xf>
    <xf numFmtId="168" fontId="12" fillId="7" borderId="15" xfId="2" applyNumberFormat="1" applyFont="1" applyFill="1" applyBorder="1" applyAlignment="1">
      <alignment horizontal="center" vertical="center" wrapText="1"/>
    </xf>
    <xf numFmtId="0" fontId="12" fillId="7" borderId="15" xfId="6" applyFont="1" applyFill="1" applyBorder="1" applyAlignment="1">
      <alignment horizontal="left" vertical="center" wrapText="1" indent="1"/>
    </xf>
    <xf numFmtId="0" fontId="12" fillId="7" borderId="15" xfId="2" applyFont="1" applyFill="1" applyBorder="1" applyAlignment="1">
      <alignment horizontal="center" vertical="center"/>
    </xf>
    <xf numFmtId="0" fontId="12" fillId="7" borderId="0" xfId="6" applyFont="1" applyFill="1" applyAlignment="1">
      <alignment horizontal="left" vertical="center" wrapText="1" indent="1"/>
    </xf>
    <xf numFmtId="0" fontId="12" fillId="7" borderId="15" xfId="2" applyFont="1" applyFill="1" applyBorder="1" applyAlignment="1">
      <alignment horizontal="center" vertical="center" wrapText="1"/>
    </xf>
    <xf numFmtId="0" fontId="12" fillId="7" borderId="16" xfId="2" applyFont="1" applyFill="1" applyBorder="1" applyAlignment="1">
      <alignment horizontal="center" vertical="center"/>
    </xf>
    <xf numFmtId="0" fontId="12" fillId="7" borderId="0" xfId="2" applyFont="1" applyFill="1" applyAlignment="1">
      <alignment horizontal="left" vertical="center" wrapText="1"/>
    </xf>
    <xf numFmtId="0" fontId="0" fillId="0" borderId="0" xfId="5" applyFont="1"/>
    <xf numFmtId="0" fontId="12" fillId="7" borderId="15" xfId="2" applyFont="1" applyFill="1" applyBorder="1"/>
    <xf numFmtId="0" fontId="49" fillId="7" borderId="15" xfId="2" applyFont="1" applyFill="1" applyBorder="1" applyAlignment="1">
      <alignment horizontal="left"/>
    </xf>
    <xf numFmtId="0" fontId="49" fillId="7" borderId="0" xfId="2" applyFont="1" applyFill="1"/>
    <xf numFmtId="0" fontId="12" fillId="7" borderId="14" xfId="2" applyFont="1" applyFill="1" applyBorder="1" applyAlignment="1">
      <alignment horizontal="left" vertical="center" wrapText="1" indent="1"/>
    </xf>
    <xf numFmtId="9" fontId="12" fillId="7" borderId="14" xfId="1" applyFont="1" applyFill="1" applyBorder="1" applyAlignment="1">
      <alignment horizontal="center" vertical="center" wrapText="1"/>
    </xf>
    <xf numFmtId="0" fontId="12" fillId="7" borderId="16" xfId="2" applyFont="1" applyFill="1" applyBorder="1" applyAlignment="1">
      <alignment vertical="center" wrapText="1"/>
    </xf>
    <xf numFmtId="0" fontId="1" fillId="0" borderId="16" xfId="5" applyBorder="1" applyAlignment="1">
      <alignment horizontal="center" vertical="center"/>
    </xf>
    <xf numFmtId="0" fontId="12" fillId="7" borderId="14" xfId="2" applyFont="1" applyFill="1" applyBorder="1" applyAlignment="1">
      <alignment vertical="center" wrapText="1"/>
    </xf>
    <xf numFmtId="168" fontId="12" fillId="7" borderId="14" xfId="2" applyNumberFormat="1" applyFont="1" applyFill="1" applyBorder="1" applyAlignment="1">
      <alignment horizontal="center" vertical="center" wrapText="1"/>
    </xf>
    <xf numFmtId="0" fontId="12" fillId="7" borderId="0" xfId="2" applyFont="1" applyFill="1" applyAlignment="1">
      <alignment vertical="center" wrapText="1"/>
    </xf>
    <xf numFmtId="0" fontId="1" fillId="0" borderId="0" xfId="5" applyAlignment="1">
      <alignment wrapText="1"/>
    </xf>
    <xf numFmtId="0" fontId="49" fillId="7" borderId="15" xfId="2" applyFont="1" applyFill="1" applyBorder="1"/>
    <xf numFmtId="0" fontId="50" fillId="7" borderId="0" xfId="2" applyFont="1" applyFill="1"/>
    <xf numFmtId="0" fontId="45" fillId="7" borderId="0" xfId="2" applyFont="1" applyFill="1"/>
    <xf numFmtId="0" fontId="50" fillId="0" borderId="0" xfId="2" applyFont="1"/>
    <xf numFmtId="0" fontId="45" fillId="0" borderId="0" xfId="2" applyFont="1"/>
    <xf numFmtId="0" fontId="51" fillId="2" borderId="0" xfId="2" applyFont="1" applyFill="1" applyAlignment="1">
      <alignment vertical="top"/>
    </xf>
    <xf numFmtId="164" fontId="25" fillId="2" borderId="0" xfId="2" applyNumberFormat="1" applyFont="1" applyFill="1"/>
    <xf numFmtId="0" fontId="11" fillId="2" borderId="0" xfId="3" applyFont="1" applyFill="1"/>
    <xf numFmtId="0" fontId="52" fillId="2" borderId="0" xfId="3" applyFont="1" applyFill="1"/>
    <xf numFmtId="0" fontId="16" fillId="2" borderId="0" xfId="2" applyFont="1" applyFill="1"/>
    <xf numFmtId="0" fontId="53" fillId="2" borderId="0" xfId="2" applyFont="1" applyFill="1" applyAlignment="1">
      <alignment vertical="top"/>
    </xf>
    <xf numFmtId="0" fontId="52" fillId="0" borderId="0" xfId="3" applyFont="1"/>
    <xf numFmtId="9" fontId="11" fillId="2" borderId="0" xfId="3" applyNumberFormat="1" applyFont="1" applyFill="1"/>
    <xf numFmtId="14" fontId="11" fillId="2" borderId="0" xfId="3" applyNumberFormat="1" applyFont="1" applyFill="1"/>
    <xf numFmtId="0" fontId="26" fillId="2" borderId="0" xfId="3" applyFont="1" applyFill="1"/>
    <xf numFmtId="0" fontId="26" fillId="0" borderId="0" xfId="3" applyFont="1"/>
    <xf numFmtId="0" fontId="16" fillId="0" borderId="0" xfId="2" applyFont="1" applyAlignment="1">
      <alignment vertical="top"/>
    </xf>
    <xf numFmtId="0" fontId="27" fillId="3" borderId="17" xfId="3" applyFont="1" applyFill="1" applyBorder="1" applyAlignment="1">
      <alignment vertical="top"/>
    </xf>
    <xf numFmtId="0" fontId="11" fillId="3" borderId="0" xfId="3" applyFont="1" applyFill="1" applyAlignment="1">
      <alignment vertical="top"/>
    </xf>
    <xf numFmtId="0" fontId="26" fillId="3" borderId="0" xfId="3" applyFont="1" applyFill="1" applyAlignment="1">
      <alignment vertical="top"/>
    </xf>
    <xf numFmtId="9" fontId="26" fillId="3" borderId="0" xfId="3" applyNumberFormat="1" applyFont="1" applyFill="1" applyAlignment="1">
      <alignment vertical="top"/>
    </xf>
    <xf numFmtId="0" fontId="26" fillId="0" borderId="0" xfId="3" applyFont="1" applyAlignment="1">
      <alignment vertical="top"/>
    </xf>
    <xf numFmtId="164" fontId="29" fillId="0" borderId="14" xfId="2" applyNumberFormat="1" applyFont="1" applyBorder="1" applyAlignment="1">
      <alignment vertical="center"/>
    </xf>
    <xf numFmtId="49" fontId="54" fillId="0" borderId="0" xfId="3" applyNumberFormat="1" applyFont="1"/>
    <xf numFmtId="0" fontId="11" fillId="0" borderId="0" xfId="3" applyFont="1"/>
    <xf numFmtId="0" fontId="16" fillId="0" borderId="0" xfId="3" applyFont="1"/>
    <xf numFmtId="0" fontId="49" fillId="0" borderId="0" xfId="2" applyFont="1"/>
    <xf numFmtId="0" fontId="55" fillId="0" borderId="13" xfId="2" applyFont="1" applyBorder="1"/>
    <xf numFmtId="0" fontId="56" fillId="0" borderId="13" xfId="2" applyFont="1" applyBorder="1"/>
    <xf numFmtId="0" fontId="12" fillId="0" borderId="13" xfId="2" applyFont="1" applyBorder="1"/>
    <xf numFmtId="0" fontId="12" fillId="0" borderId="0" xfId="2" applyFont="1" applyAlignment="1">
      <alignment vertical="center" wrapText="1"/>
    </xf>
    <xf numFmtId="0" fontId="55" fillId="0" borderId="13" xfId="2" applyFont="1" applyBorder="1" applyProtection="1">
      <protection locked="0"/>
    </xf>
    <xf numFmtId="0" fontId="56" fillId="0" borderId="0" xfId="2" applyFont="1"/>
    <xf numFmtId="0" fontId="56" fillId="0" borderId="13" xfId="2" applyFont="1" applyBorder="1" applyProtection="1">
      <protection locked="0"/>
    </xf>
    <xf numFmtId="0" fontId="49" fillId="0" borderId="0" xfId="2" applyFont="1" applyAlignment="1">
      <alignment horizontal="center" vertical="center" wrapText="1"/>
    </xf>
    <xf numFmtId="0" fontId="12" fillId="0" borderId="0" xfId="2" applyFont="1" applyAlignment="1">
      <alignment horizontal="center" vertical="center" wrapText="1"/>
    </xf>
    <xf numFmtId="0" fontId="57" fillId="0" borderId="0" xfId="2" applyFont="1"/>
    <xf numFmtId="0" fontId="26" fillId="0" borderId="0" xfId="2" applyFont="1"/>
    <xf numFmtId="164" fontId="29" fillId="0" borderId="14" xfId="2" applyNumberFormat="1" applyFont="1" applyBorder="1" applyAlignment="1">
      <alignment horizontal="left" vertical="center"/>
    </xf>
    <xf numFmtId="164" fontId="29" fillId="0" borderId="0" xfId="2" applyNumberFormat="1" applyFont="1" applyAlignment="1">
      <alignment vertical="center"/>
    </xf>
    <xf numFmtId="9" fontId="26" fillId="6" borderId="0" xfId="2" applyNumberFormat="1" applyFont="1" applyFill="1" applyAlignment="1">
      <alignment horizontal="left" vertic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/>
    <xf numFmtId="3" fontId="33" fillId="0" borderId="0" xfId="2" applyNumberFormat="1" applyFont="1" applyAlignment="1">
      <alignment horizontal="center" vertical="center"/>
    </xf>
    <xf numFmtId="0" fontId="2" fillId="4" borderId="19" xfId="2" applyFont="1" applyFill="1" applyBorder="1" applyAlignment="1">
      <alignment horizontal="center" wrapText="1"/>
    </xf>
    <xf numFmtId="0" fontId="2" fillId="4" borderId="20" xfId="2" applyFont="1" applyFill="1" applyBorder="1" applyAlignment="1">
      <alignment horizontal="center" wrapText="1"/>
    </xf>
    <xf numFmtId="4" fontId="34" fillId="0" borderId="9" xfId="2" applyNumberFormat="1" applyFont="1" applyBorder="1" applyAlignment="1" applyProtection="1">
      <alignment horizontal="center" vertical="center"/>
      <protection locked="0"/>
    </xf>
    <xf numFmtId="9" fontId="58" fillId="0" borderId="21" xfId="2" applyNumberFormat="1" applyFont="1" applyBorder="1"/>
    <xf numFmtId="2" fontId="58" fillId="0" borderId="0" xfId="2" applyNumberFormat="1" applyFont="1"/>
    <xf numFmtId="44" fontId="58" fillId="0" borderId="22" xfId="2" applyNumberFormat="1" applyFont="1" applyBorder="1"/>
    <xf numFmtId="4" fontId="34" fillId="0" borderId="11" xfId="2" applyNumberFormat="1" applyFont="1" applyBorder="1" applyAlignment="1" applyProtection="1">
      <alignment horizontal="center" vertical="center"/>
      <protection locked="0"/>
    </xf>
    <xf numFmtId="9" fontId="2" fillId="0" borderId="21" xfId="2" applyNumberFormat="1" applyFont="1" applyBorder="1"/>
    <xf numFmtId="2" fontId="2" fillId="0" borderId="0" xfId="2" applyNumberFormat="1" applyFont="1"/>
    <xf numFmtId="44" fontId="2" fillId="0" borderId="22" xfId="2" applyNumberFormat="1" applyFont="1" applyBorder="1"/>
    <xf numFmtId="2" fontId="49" fillId="0" borderId="0" xfId="2" applyNumberFormat="1" applyFont="1"/>
    <xf numFmtId="9" fontId="2" fillId="0" borderId="23" xfId="2" applyNumberFormat="1" applyFont="1" applyBorder="1"/>
    <xf numFmtId="2" fontId="2" fillId="0" borderId="24" xfId="2" applyNumberFormat="1" applyFont="1" applyBorder="1"/>
    <xf numFmtId="44" fontId="2" fillId="0" borderId="25" xfId="2" quotePrefix="1" applyNumberFormat="1" applyFont="1" applyBorder="1"/>
    <xf numFmtId="4" fontId="35" fillId="5" borderId="12" xfId="2" applyNumberFormat="1" applyFont="1" applyFill="1" applyBorder="1" applyAlignment="1" applyProtection="1">
      <alignment horizontal="center" vertical="center"/>
      <protection locked="0"/>
    </xf>
    <xf numFmtId="0" fontId="31" fillId="0" borderId="0" xfId="2" applyFont="1" applyAlignment="1">
      <alignment horizontal="center" wrapText="1"/>
    </xf>
    <xf numFmtId="4" fontId="35" fillId="0" borderId="0" xfId="2" applyNumberFormat="1" applyFont="1" applyAlignment="1" applyProtection="1">
      <alignment horizontal="center" vertical="center"/>
      <protection locked="0"/>
    </xf>
    <xf numFmtId="0" fontId="59" fillId="0" borderId="0" xfId="2" applyFont="1" applyAlignment="1">
      <alignment vertical="top"/>
    </xf>
    <xf numFmtId="164" fontId="11" fillId="3" borderId="0" xfId="2" applyNumberFormat="1" applyFont="1" applyFill="1" applyAlignment="1">
      <alignment horizontal="centerContinuous" vertical="top"/>
    </xf>
    <xf numFmtId="0" fontId="59" fillId="0" borderId="0" xfId="2" applyFont="1"/>
    <xf numFmtId="4" fontId="16" fillId="0" borderId="0" xfId="2" applyNumberFormat="1" applyFont="1" applyAlignment="1">
      <alignment horizontal="center" vertical="center"/>
    </xf>
    <xf numFmtId="0" fontId="12" fillId="0" borderId="26" xfId="2" applyFont="1" applyBorder="1" applyAlignment="1">
      <alignment vertical="center"/>
    </xf>
    <xf numFmtId="9" fontId="49" fillId="0" borderId="26" xfId="1" applyFont="1" applyBorder="1" applyAlignment="1">
      <alignment horizontal="center" vertical="center"/>
    </xf>
    <xf numFmtId="0" fontId="3" fillId="0" borderId="0" xfId="2" applyFont="1"/>
    <xf numFmtId="9" fontId="49" fillId="0" borderId="26" xfId="1" applyFont="1" applyBorder="1" applyAlignment="1">
      <alignment horizontal="center" vertical="top"/>
    </xf>
    <xf numFmtId="0" fontId="12" fillId="0" borderId="11" xfId="2" applyFont="1" applyBorder="1" applyAlignment="1">
      <alignment vertical="center"/>
    </xf>
    <xf numFmtId="9" fontId="49" fillId="0" borderId="11" xfId="1" applyFont="1" applyBorder="1" applyAlignment="1">
      <alignment horizontal="center" vertical="center"/>
    </xf>
    <xf numFmtId="9" fontId="3" fillId="0" borderId="0" xfId="2" applyNumberFormat="1" applyFont="1" applyAlignment="1">
      <alignment horizontal="center"/>
    </xf>
    <xf numFmtId="4" fontId="36" fillId="0" borderId="0" xfId="2" applyNumberFormat="1" applyFont="1" applyAlignment="1">
      <alignment horizontal="center" vertical="center"/>
    </xf>
    <xf numFmtId="0" fontId="36" fillId="0" borderId="0" xfId="2" applyFont="1" applyAlignment="1">
      <alignment horizontal="center" vertical="center"/>
    </xf>
    <xf numFmtId="0" fontId="16" fillId="0" borderId="0" xfId="2" applyFont="1" applyAlignment="1">
      <alignment vertical="center"/>
    </xf>
    <xf numFmtId="0" fontId="62" fillId="0" borderId="0" xfId="2" applyFont="1"/>
    <xf numFmtId="4" fontId="34" fillId="0" borderId="0" xfId="2" applyNumberFormat="1" applyFont="1" applyAlignment="1">
      <alignment horizontal="center" vertical="center"/>
    </xf>
    <xf numFmtId="0" fontId="34" fillId="0" borderId="0" xfId="2" applyFont="1" applyAlignment="1">
      <alignment horizontal="center" vertical="center"/>
    </xf>
    <xf numFmtId="0" fontId="16" fillId="0" borderId="0" xfId="2" applyFont="1" applyAlignment="1">
      <alignment horizontal="left" vertical="top"/>
    </xf>
    <xf numFmtId="0" fontId="49" fillId="0" borderId="0" xfId="2" applyFont="1" applyAlignment="1">
      <alignment horizontal="left"/>
    </xf>
    <xf numFmtId="9" fontId="30" fillId="0" borderId="0" xfId="1" applyFont="1" applyAlignment="1">
      <alignment horizontal="center"/>
    </xf>
    <xf numFmtId="9" fontId="64" fillId="0" borderId="0" xfId="2" applyNumberFormat="1" applyFont="1" applyAlignment="1">
      <alignment horizontal="left"/>
    </xf>
    <xf numFmtId="0" fontId="12" fillId="0" borderId="0" xfId="2" applyFont="1" applyAlignment="1">
      <alignment horizontal="right"/>
    </xf>
    <xf numFmtId="0" fontId="12" fillId="0" borderId="0" xfId="2" applyFont="1" applyAlignment="1">
      <alignment horizontal="left"/>
    </xf>
    <xf numFmtId="168" fontId="12" fillId="0" borderId="0" xfId="2" applyNumberFormat="1" applyFont="1" applyAlignment="1">
      <alignment horizontal="center"/>
    </xf>
    <xf numFmtId="9" fontId="26" fillId="0" borderId="0" xfId="1" applyFont="1" applyAlignment="1">
      <alignment horizontal="left"/>
    </xf>
    <xf numFmtId="9" fontId="37" fillId="0" borderId="0" xfId="2" applyNumberFormat="1" applyFont="1" applyAlignment="1">
      <alignment horizontal="center"/>
    </xf>
    <xf numFmtId="0" fontId="49" fillId="0" borderId="27" xfId="2" applyFont="1" applyBorder="1" applyAlignment="1">
      <alignment horizontal="center" vertical="center" wrapText="1"/>
    </xf>
    <xf numFmtId="165" fontId="49" fillId="9" borderId="28" xfId="2" applyNumberFormat="1" applyFont="1" applyFill="1" applyBorder="1" applyAlignment="1">
      <alignment horizontal="centerContinuous" vertical="center" wrapText="1"/>
    </xf>
    <xf numFmtId="165" fontId="49" fillId="9" borderId="29" xfId="2" applyNumberFormat="1" applyFont="1" applyFill="1" applyBorder="1" applyAlignment="1">
      <alignment horizontal="centerContinuous" vertical="center" wrapText="1"/>
    </xf>
    <xf numFmtId="0" fontId="11" fillId="9" borderId="0" xfId="2" applyFont="1" applyFill="1" applyAlignment="1">
      <alignment horizontal="center" vertical="center" wrapText="1"/>
    </xf>
    <xf numFmtId="0" fontId="11" fillId="0" borderId="0" xfId="2" applyFont="1" applyAlignment="1">
      <alignment horizontal="centerContinuous" vertical="center"/>
    </xf>
    <xf numFmtId="165" fontId="49" fillId="9" borderId="30" xfId="2" applyNumberFormat="1" applyFont="1" applyFill="1" applyBorder="1" applyAlignment="1">
      <alignment vertical="center"/>
    </xf>
    <xf numFmtId="166" fontId="11" fillId="0" borderId="31" xfId="2" applyNumberFormat="1" applyFont="1" applyBorder="1" applyAlignment="1">
      <alignment horizontal="center" vertical="center"/>
    </xf>
    <xf numFmtId="165" fontId="49" fillId="0" borderId="32" xfId="2" applyNumberFormat="1" applyFont="1" applyBorder="1" applyAlignment="1">
      <alignment vertical="center"/>
    </xf>
    <xf numFmtId="165" fontId="49" fillId="9" borderId="33" xfId="2" applyNumberFormat="1" applyFont="1" applyFill="1" applyBorder="1" applyAlignment="1">
      <alignment vertical="center"/>
    </xf>
    <xf numFmtId="166" fontId="11" fillId="0" borderId="34" xfId="2" applyNumberFormat="1" applyFont="1" applyBorder="1" applyAlignment="1">
      <alignment horizontal="center" vertical="center"/>
    </xf>
    <xf numFmtId="165" fontId="49" fillId="0" borderId="35" xfId="2" applyNumberFormat="1" applyFont="1" applyBorder="1" applyAlignment="1">
      <alignment vertical="center"/>
    </xf>
    <xf numFmtId="165" fontId="49" fillId="9" borderId="36" xfId="2" applyNumberFormat="1" applyFont="1" applyFill="1" applyBorder="1" applyAlignment="1">
      <alignment vertical="center"/>
    </xf>
    <xf numFmtId="166" fontId="11" fillId="0" borderId="37" xfId="2" applyNumberFormat="1" applyFont="1" applyBorder="1" applyAlignment="1">
      <alignment horizontal="center" vertical="center"/>
    </xf>
    <xf numFmtId="165" fontId="49" fillId="0" borderId="38" xfId="2" applyNumberFormat="1" applyFont="1" applyBorder="1" applyAlignment="1">
      <alignment vertical="center"/>
    </xf>
    <xf numFmtId="166" fontId="11" fillId="0" borderId="0" xfId="2" applyNumberFormat="1" applyFont="1" applyAlignment="1">
      <alignment horizontal="center" vertical="center"/>
    </xf>
    <xf numFmtId="165" fontId="49" fillId="0" borderId="0" xfId="2" applyNumberFormat="1" applyFont="1" applyAlignment="1">
      <alignment vertical="center"/>
    </xf>
    <xf numFmtId="0" fontId="12" fillId="0" borderId="0" xfId="2" applyFont="1" applyAlignment="1">
      <alignment vertical="center"/>
    </xf>
    <xf numFmtId="9" fontId="26" fillId="0" borderId="0" xfId="2" applyNumberFormat="1" applyFont="1" applyAlignment="1">
      <alignment horizontal="right"/>
    </xf>
    <xf numFmtId="0" fontId="30" fillId="0" borderId="13" xfId="2" applyFont="1" applyBorder="1" applyAlignment="1">
      <alignment horizontal="center"/>
    </xf>
    <xf numFmtId="168" fontId="12" fillId="0" borderId="39" xfId="2" applyNumberFormat="1" applyFont="1" applyBorder="1" applyAlignment="1">
      <alignment horizontal="center"/>
    </xf>
    <xf numFmtId="0" fontId="67" fillId="0" borderId="0" xfId="2" applyFont="1" applyAlignment="1">
      <alignment horizontal="center"/>
    </xf>
    <xf numFmtId="14" fontId="68" fillId="0" borderId="0" xfId="2" applyNumberFormat="1" applyFont="1" applyAlignment="1" applyProtection="1">
      <alignment horizontal="left"/>
      <protection locked="0"/>
    </xf>
    <xf numFmtId="14" fontId="69" fillId="0" borderId="0" xfId="2" applyNumberFormat="1" applyFont="1" applyProtection="1">
      <protection locked="0"/>
    </xf>
    <xf numFmtId="0" fontId="37" fillId="0" borderId="0" xfId="2" applyFont="1" applyAlignment="1">
      <alignment horizontal="center"/>
    </xf>
    <xf numFmtId="14" fontId="70" fillId="0" borderId="0" xfId="2" applyNumberFormat="1" applyFont="1" applyProtection="1">
      <protection locked="0"/>
    </xf>
    <xf numFmtId="0" fontId="71" fillId="0" borderId="0" xfId="2" applyFont="1"/>
    <xf numFmtId="0" fontId="12" fillId="0" borderId="0" xfId="2" applyFont="1" applyAlignment="1">
      <alignment horizontal="left" indent="1"/>
    </xf>
    <xf numFmtId="0" fontId="12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6" fillId="7" borderId="0" xfId="2" applyFont="1" applyFill="1" applyAlignment="1">
      <alignment horizontal="left" vertical="top"/>
    </xf>
    <xf numFmtId="14" fontId="12" fillId="0" borderId="0" xfId="2" applyNumberFormat="1" applyFont="1" applyAlignment="1" applyProtection="1">
      <alignment horizontal="left" vertical="top"/>
      <protection locked="0"/>
    </xf>
    <xf numFmtId="0" fontId="16" fillId="7" borderId="0" xfId="2" applyFont="1" applyFill="1"/>
    <xf numFmtId="0" fontId="12" fillId="0" borderId="0" xfId="2" applyFont="1" applyAlignment="1">
      <alignment horizontal="left" vertical="top" indent="1"/>
    </xf>
    <xf numFmtId="0" fontId="12" fillId="7" borderId="0" xfId="2" applyFont="1" applyFill="1" applyAlignment="1">
      <alignment horizontal="left"/>
    </xf>
    <xf numFmtId="0" fontId="12" fillId="7" borderId="0" xfId="2" applyFont="1" applyFill="1" applyAlignment="1">
      <alignment horizontal="left" indent="1"/>
    </xf>
    <xf numFmtId="0" fontId="12" fillId="7" borderId="0" xfId="2" applyFont="1" applyFill="1" applyAlignment="1">
      <alignment horizontal="left" vertical="top"/>
    </xf>
    <xf numFmtId="14" fontId="12" fillId="0" borderId="0" xfId="2" applyNumberFormat="1" applyFont="1"/>
    <xf numFmtId="0" fontId="49" fillId="6" borderId="0" xfId="2" applyFont="1" applyFill="1"/>
    <xf numFmtId="0" fontId="12" fillId="6" borderId="0" xfId="2" applyFont="1" applyFill="1"/>
    <xf numFmtId="167" fontId="49" fillId="0" borderId="0" xfId="2" applyNumberFormat="1" applyFont="1" applyAlignment="1">
      <alignment wrapText="1"/>
    </xf>
    <xf numFmtId="167" fontId="12" fillId="0" borderId="0" xfId="2" applyNumberFormat="1" applyFont="1" applyAlignment="1">
      <alignment wrapText="1"/>
    </xf>
    <xf numFmtId="4" fontId="34" fillId="0" borderId="10" xfId="2" applyNumberFormat="1" applyFont="1" applyBorder="1" applyAlignment="1" applyProtection="1">
      <alignment horizontal="center" vertical="center"/>
      <protection locked="0"/>
    </xf>
    <xf numFmtId="0" fontId="16" fillId="0" borderId="0" xfId="2" applyFont="1" applyProtection="1"/>
    <xf numFmtId="0" fontId="16" fillId="0" borderId="0" xfId="2" applyFont="1" applyAlignment="1" applyProtection="1">
      <alignment horizontal="left"/>
    </xf>
    <xf numFmtId="0" fontId="36" fillId="0" borderId="0" xfId="2" applyFont="1" applyProtection="1"/>
    <xf numFmtId="0" fontId="38" fillId="0" borderId="0" xfId="2" applyFont="1" applyAlignment="1" applyProtection="1">
      <alignment horizontal="center"/>
    </xf>
    <xf numFmtId="14" fontId="39" fillId="0" borderId="0" xfId="2" applyNumberFormat="1" applyFont="1" applyAlignment="1" applyProtection="1">
      <alignment horizontal="left"/>
    </xf>
    <xf numFmtId="0" fontId="31" fillId="0" borderId="5" xfId="2" applyFont="1" applyFill="1" applyBorder="1" applyAlignment="1" applyProtection="1">
      <alignment horizontal="center" vertical="center" wrapText="1"/>
      <protection locked="0"/>
    </xf>
    <xf numFmtId="9" fontId="32" fillId="0" borderId="6" xfId="2" applyNumberFormat="1" applyFont="1" applyFill="1" applyBorder="1" applyAlignment="1" applyProtection="1">
      <alignment horizontal="center"/>
      <protection locked="0"/>
    </xf>
    <xf numFmtId="9" fontId="32" fillId="0" borderId="7" xfId="2" applyNumberFormat="1" applyFont="1" applyFill="1" applyBorder="1" applyAlignment="1" applyProtection="1">
      <alignment horizontal="center"/>
      <protection locked="0"/>
    </xf>
    <xf numFmtId="0" fontId="16" fillId="0" borderId="0" xfId="2" applyFont="1" applyFill="1"/>
    <xf numFmtId="165" fontId="16" fillId="0" borderId="0" xfId="2" applyNumberFormat="1" applyFont="1" applyAlignment="1" applyProtection="1">
      <alignment horizontal="right"/>
    </xf>
    <xf numFmtId="0" fontId="37" fillId="0" borderId="0" xfId="2" applyFont="1" applyProtection="1"/>
    <xf numFmtId="4" fontId="34" fillId="0" borderId="8" xfId="2" applyNumberFormat="1" applyFont="1" applyBorder="1" applyAlignment="1" applyProtection="1">
      <alignment horizontal="center" vertical="center"/>
      <protection locked="0"/>
    </xf>
    <xf numFmtId="0" fontId="7" fillId="4" borderId="0" xfId="2" applyFont="1" applyFill="1" applyAlignment="1" applyProtection="1">
      <alignment horizontal="center" vertical="center"/>
      <protection locked="0"/>
    </xf>
    <xf numFmtId="0" fontId="10" fillId="0" borderId="0" xfId="2" applyFont="1" applyAlignment="1">
      <alignment horizontal="left" vertical="top" wrapText="1"/>
    </xf>
    <xf numFmtId="0" fontId="11" fillId="0" borderId="2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6" fillId="0" borderId="2" xfId="2" applyFont="1" applyBorder="1" applyAlignment="1">
      <alignment horizontal="left" vertical="center" wrapText="1"/>
    </xf>
    <xf numFmtId="0" fontId="16" fillId="0" borderId="1" xfId="2" applyFont="1" applyBorder="1" applyAlignment="1">
      <alignment horizontal="left" vertical="center" wrapText="1"/>
    </xf>
    <xf numFmtId="0" fontId="49" fillId="0" borderId="0" xfId="2" applyFont="1" applyAlignment="1">
      <alignment horizontal="center" vertical="center" wrapText="1"/>
    </xf>
    <xf numFmtId="0" fontId="12" fillId="0" borderId="0" xfId="2" applyFont="1" applyAlignment="1">
      <alignment horizontal="center" vertical="center" wrapText="1"/>
    </xf>
    <xf numFmtId="0" fontId="26" fillId="0" borderId="0" xfId="2" applyFont="1" applyAlignment="1">
      <alignment horizontal="center" vertical="center" wrapText="1"/>
    </xf>
    <xf numFmtId="0" fontId="16" fillId="0" borderId="0" xfId="2" applyFont="1" applyAlignment="1">
      <alignment horizontal="center" vertical="center" wrapText="1"/>
    </xf>
    <xf numFmtId="169" fontId="12" fillId="0" borderId="0" xfId="2" applyNumberFormat="1" applyFont="1" applyAlignment="1">
      <alignment horizontal="left"/>
    </xf>
    <xf numFmtId="0" fontId="12" fillId="0" borderId="0" xfId="2" applyFont="1" applyAlignment="1">
      <alignment horizontal="left" wrapText="1"/>
    </xf>
    <xf numFmtId="0" fontId="24" fillId="2" borderId="0" xfId="2" applyFont="1" applyFill="1" applyAlignment="1">
      <alignment horizontal="left" vertical="top" wrapText="1"/>
    </xf>
    <xf numFmtId="0" fontId="46" fillId="8" borderId="0" xfId="6" applyFont="1" applyFill="1" applyAlignment="1">
      <alignment horizontal="center" vertical="center" wrapText="1"/>
    </xf>
    <xf numFmtId="0" fontId="12" fillId="7" borderId="0" xfId="2" applyFont="1" applyFill="1" applyAlignment="1">
      <alignment horizontal="left" vertical="center" wrapText="1" indent="1"/>
    </xf>
    <xf numFmtId="0" fontId="12" fillId="7" borderId="0" xfId="2" applyFont="1" applyFill="1" applyAlignment="1">
      <alignment horizontal="left" vertical="center" wrapText="1"/>
    </xf>
    <xf numFmtId="0" fontId="12" fillId="7" borderId="15" xfId="2" applyFont="1" applyFill="1" applyBorder="1" applyAlignment="1">
      <alignment horizontal="left" vertical="center" wrapText="1"/>
    </xf>
    <xf numFmtId="0" fontId="12" fillId="7" borderId="14" xfId="2" applyFont="1" applyFill="1" applyBorder="1" applyAlignment="1">
      <alignment horizontal="left" vertical="center" wrapText="1"/>
    </xf>
    <xf numFmtId="0" fontId="12" fillId="7" borderId="15" xfId="6" applyFont="1" applyFill="1" applyBorder="1" applyAlignment="1">
      <alignment horizontal="left" vertical="center" wrapText="1" indent="1"/>
    </xf>
    <xf numFmtId="0" fontId="12" fillId="7" borderId="0" xfId="6" applyFont="1" applyFill="1" applyAlignment="1">
      <alignment horizontal="left" vertical="center" wrapText="1" indent="1"/>
    </xf>
    <xf numFmtId="0" fontId="12" fillId="7" borderId="14" xfId="6" applyFont="1" applyFill="1" applyBorder="1" applyAlignment="1">
      <alignment horizontal="left" vertical="center" wrapText="1" indent="1"/>
    </xf>
  </cellXfs>
  <cellStyles count="7">
    <cellStyle name="Normal" xfId="0" builtinId="0"/>
    <cellStyle name="Normal 2" xfId="2" xr:uid="{AB0456DC-85C5-45C6-A3B7-0482A0EE10D6}"/>
    <cellStyle name="Normal 4 2 8" xfId="5" xr:uid="{A39F2A68-0576-4630-A499-ACDE40CD2569}"/>
    <cellStyle name="Normal_Custommer summary_without comments" xfId="3" xr:uid="{38841DF4-A596-4BA7-AFBB-D45D05E9FE62}"/>
    <cellStyle name="Normal_DHLEUROPLUS INTERNACIONAL España_Personalizada" xfId="4" xr:uid="{3BB7899F-87E0-479B-A7D7-99A575D55FB1}"/>
    <cellStyle name="Normal_Value_Added_Surcharges_v2" xfId="6" xr:uid="{1B629117-A700-4020-86FA-105B103956A0}"/>
    <cellStyle name="Percent" xfId="1" builtinId="5"/>
  </cellStyles>
  <dxfs count="18"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auto="1"/>
      </font>
    </dxf>
    <dxf>
      <font>
        <color theme="0"/>
      </font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230392</xdr:colOff>
      <xdr:row>5</xdr:row>
      <xdr:rowOff>412749</xdr:rowOff>
    </xdr:from>
    <xdr:to>
      <xdr:col>11</xdr:col>
      <xdr:colOff>564746</xdr:colOff>
      <xdr:row>7</xdr:row>
      <xdr:rowOff>1063624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81DE9BB-9D34-4D16-B66E-753F05586D0E}"/>
            </a:ext>
          </a:extLst>
        </xdr:cNvPr>
        <xdr:cNvSpPr txBox="1"/>
      </xdr:nvSpPr>
      <xdr:spPr>
        <a:xfrm>
          <a:off x="230392" y="4622799"/>
          <a:ext cx="7659079" cy="2070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br>
            <a:rPr lang="es-ES" sz="2000" b="0">
              <a:solidFill>
                <a:srgbClr val="C00000"/>
              </a:solidFill>
              <a:latin typeface="+mn-lt"/>
            </a:rPr>
          </a:br>
          <a:r>
            <a:rPr lang="es-ES" sz="2000" b="0">
              <a:solidFill>
                <a:srgbClr val="D40511"/>
              </a:solidFill>
              <a:latin typeface="+mn-lt"/>
            </a:rPr>
            <a:t>DHL PARCEL EUROPLUS DOMÉSTICO</a:t>
          </a:r>
          <a:br>
            <a:rPr lang="es-ES" sz="2000" b="0">
              <a:solidFill>
                <a:srgbClr val="C00000"/>
              </a:solidFill>
              <a:latin typeface="+mn-lt"/>
            </a:rPr>
          </a:br>
          <a:r>
            <a:rPr lang="es-ES" sz="2400" b="1">
              <a:solidFill>
                <a:srgbClr val="D40511"/>
              </a:solidFill>
              <a:latin typeface="+mn-lt"/>
              <a:cs typeface="Calibri" panose="020F0502020204030204" pitchFamily="34" charset="0"/>
            </a:rPr>
            <a:t>LA MEJOR SOLUCIÓN PARA TUS ENVÍOS </a:t>
          </a:r>
        </a:p>
        <a:p>
          <a:r>
            <a:rPr lang="es-ES" sz="2400" b="1">
              <a:solidFill>
                <a:srgbClr val="D40511"/>
              </a:solidFill>
              <a:latin typeface="+mn-lt"/>
              <a:cs typeface="Calibri" panose="020F0502020204030204" pitchFamily="34" charset="0"/>
            </a:rPr>
            <a:t>DE PAQUETERÍA</a:t>
          </a:r>
          <a:r>
            <a:rPr lang="es-ES" sz="2400" b="1" baseline="0">
              <a:solidFill>
                <a:srgbClr val="D40511"/>
              </a:solidFill>
              <a:latin typeface="+mn-lt"/>
              <a:cs typeface="Calibri" panose="020F0502020204030204" pitchFamily="34" charset="0"/>
            </a:rPr>
            <a:t>  EMPRESARIAL </a:t>
          </a:r>
          <a:br>
            <a:rPr lang="es-ES" sz="2000" b="0">
              <a:solidFill>
                <a:srgbClr val="C00000"/>
              </a:solidFill>
              <a:latin typeface="+mn-lt"/>
            </a:rPr>
          </a:br>
          <a:endParaRPr lang="es-ES" sz="2000" b="0">
            <a:solidFill>
              <a:srgbClr val="C00000"/>
            </a:solidFill>
            <a:latin typeface="+mn-lt"/>
          </a:endParaRPr>
        </a:p>
      </xdr:txBody>
    </xdr:sp>
    <xdr:clientData/>
  </xdr:twoCellAnchor>
  <xdr:twoCellAnchor>
    <xdr:from>
      <xdr:col>1</xdr:col>
      <xdr:colOff>577850</xdr:colOff>
      <xdr:row>50</xdr:row>
      <xdr:rowOff>65245</xdr:rowOff>
    </xdr:from>
    <xdr:to>
      <xdr:col>11</xdr:col>
      <xdr:colOff>152400</xdr:colOff>
      <xdr:row>50</xdr:row>
      <xdr:rowOff>71595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A8311620-A6C2-4E40-9FA1-624FF27DD9DB}"/>
            </a:ext>
          </a:extLst>
        </xdr:cNvPr>
        <xdr:cNvCxnSpPr/>
      </xdr:nvCxnSpPr>
      <xdr:spPr>
        <a:xfrm>
          <a:off x="854075" y="19791520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584200</xdr:colOff>
      <xdr:row>51</xdr:row>
      <xdr:rowOff>90645</xdr:rowOff>
    </xdr:from>
    <xdr:to>
      <xdr:col>11</xdr:col>
      <xdr:colOff>158750</xdr:colOff>
      <xdr:row>51</xdr:row>
      <xdr:rowOff>96995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AA5EF797-5BC7-4FD6-9B5B-117457FE5BD9}"/>
            </a:ext>
          </a:extLst>
        </xdr:cNvPr>
        <xdr:cNvCxnSpPr/>
      </xdr:nvCxnSpPr>
      <xdr:spPr>
        <a:xfrm>
          <a:off x="860425" y="19978845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590550</xdr:colOff>
      <xdr:row>52</xdr:row>
      <xdr:rowOff>109696</xdr:rowOff>
    </xdr:from>
    <xdr:to>
      <xdr:col>11</xdr:col>
      <xdr:colOff>165100</xdr:colOff>
      <xdr:row>52</xdr:row>
      <xdr:rowOff>116046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352DBA46-7572-4A01-B461-F99ABA5DEDAB}"/>
            </a:ext>
          </a:extLst>
        </xdr:cNvPr>
        <xdr:cNvCxnSpPr/>
      </xdr:nvCxnSpPr>
      <xdr:spPr>
        <a:xfrm>
          <a:off x="866775" y="20159821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584200</xdr:colOff>
      <xdr:row>53</xdr:row>
      <xdr:rowOff>134518</xdr:rowOff>
    </xdr:from>
    <xdr:to>
      <xdr:col>11</xdr:col>
      <xdr:colOff>158750</xdr:colOff>
      <xdr:row>53</xdr:row>
      <xdr:rowOff>140868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D868607-E898-405B-8EB7-D1724C85CA25}"/>
            </a:ext>
          </a:extLst>
        </xdr:cNvPr>
        <xdr:cNvCxnSpPr/>
      </xdr:nvCxnSpPr>
      <xdr:spPr>
        <a:xfrm>
          <a:off x="860425" y="20346568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478170</xdr:colOff>
      <xdr:row>6</xdr:row>
      <xdr:rowOff>268498</xdr:rowOff>
    </xdr:from>
    <xdr:to>
      <xdr:col>5</xdr:col>
      <xdr:colOff>624416</xdr:colOff>
      <xdr:row>7</xdr:row>
      <xdr:rowOff>867212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D34C1D-8E0E-4E77-A1F3-1814A2930AA4}"/>
            </a:ext>
          </a:extLst>
        </xdr:cNvPr>
        <xdr:cNvSpPr txBox="1"/>
      </xdr:nvSpPr>
      <xdr:spPr>
        <a:xfrm>
          <a:off x="1516395" y="5488198"/>
          <a:ext cx="2432246" cy="10082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200" b="1">
            <a:latin typeface="Delivery" panose="020F0503020204020204" pitchFamily="34" charset="0"/>
          </a:endParaRPr>
        </a:p>
      </xdr:txBody>
    </xdr:sp>
    <xdr:clientData/>
  </xdr:twoCellAnchor>
  <xdr:twoCellAnchor>
    <xdr:from>
      <xdr:col>2</xdr:col>
      <xdr:colOff>8506</xdr:colOff>
      <xdr:row>12</xdr:row>
      <xdr:rowOff>346034</xdr:rowOff>
    </xdr:from>
    <xdr:to>
      <xdr:col>5</xdr:col>
      <xdr:colOff>514350</xdr:colOff>
      <xdr:row>12</xdr:row>
      <xdr:rowOff>1038226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30FE9C9-DD3A-46A2-813D-18294703E842}"/>
            </a:ext>
          </a:extLst>
        </xdr:cNvPr>
        <xdr:cNvSpPr txBox="1"/>
      </xdr:nvSpPr>
      <xdr:spPr>
        <a:xfrm>
          <a:off x="1046731" y="7689809"/>
          <a:ext cx="2791844" cy="6921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Entrega en 24/48 horas *</a:t>
          </a:r>
          <a:endParaRPr lang="es-ES" sz="1800">
            <a:effectLst/>
          </a:endParaRPr>
        </a:p>
        <a:p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 España y Portugal</a:t>
          </a:r>
          <a:endParaRPr lang="es-ES" sz="1800">
            <a:effectLst/>
          </a:endParaRPr>
        </a:p>
      </xdr:txBody>
    </xdr:sp>
    <xdr:clientData/>
  </xdr:twoCellAnchor>
  <xdr:twoCellAnchor>
    <xdr:from>
      <xdr:col>0</xdr:col>
      <xdr:colOff>244500</xdr:colOff>
      <xdr:row>7</xdr:row>
      <xdr:rowOff>523873</xdr:rowOff>
    </xdr:from>
    <xdr:to>
      <xdr:col>8</xdr:col>
      <xdr:colOff>11338</xdr:colOff>
      <xdr:row>12</xdr:row>
      <xdr:rowOff>251730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FD51BBE4-A776-4859-B231-B5CA0BAC79DF}"/>
            </a:ext>
          </a:extLst>
        </xdr:cNvPr>
        <xdr:cNvSpPr txBox="1"/>
      </xdr:nvSpPr>
      <xdr:spPr>
        <a:xfrm>
          <a:off x="244500" y="6153148"/>
          <a:ext cx="5043688" cy="144235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DHL Parcel</a:t>
          </a:r>
          <a:r>
            <a:rPr lang="es-E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Europlus Doméstico es un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servicio terrestre de entrega a empresas en España y  Portugal.  </a:t>
          </a:r>
          <a:r>
            <a:rPr lang="es-E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 DHL Parcel ofrecemos soluciones integradas en tu proceso de negocio haciendo que enviar tus paquetes sea rápido  y  sencillo.</a:t>
          </a:r>
          <a:endParaRPr lang="es-ES" sz="1400">
            <a:latin typeface="+mn-lt"/>
          </a:endParaRPr>
        </a:p>
      </xdr:txBody>
    </xdr:sp>
    <xdr:clientData/>
  </xdr:twoCellAnchor>
  <xdr:twoCellAnchor>
    <xdr:from>
      <xdr:col>0</xdr:col>
      <xdr:colOff>13074</xdr:colOff>
      <xdr:row>16</xdr:row>
      <xdr:rowOff>667994</xdr:rowOff>
    </xdr:from>
    <xdr:to>
      <xdr:col>11</xdr:col>
      <xdr:colOff>696313</xdr:colOff>
      <xdr:row>17</xdr:row>
      <xdr:rowOff>59880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134640A-6547-493B-9F9E-43E7DF9A6BDF}"/>
            </a:ext>
          </a:extLst>
        </xdr:cNvPr>
        <xdr:cNvSpPr txBox="1"/>
      </xdr:nvSpPr>
      <xdr:spPr>
        <a:xfrm>
          <a:off x="13074" y="13536269"/>
          <a:ext cx="8007964" cy="534886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latin typeface="Calibri" panose="020F0502020204030204" pitchFamily="34" charset="0"/>
              <a:cs typeface="Calibri" panose="020F0502020204030204" pitchFamily="34" charset="0"/>
            </a:rPr>
            <a:t>Especificaciones</a:t>
          </a:r>
          <a:r>
            <a:rPr lang="es-ES" sz="1400" b="1" baseline="0">
              <a:latin typeface="Calibri" panose="020F0502020204030204" pitchFamily="34" charset="0"/>
              <a:cs typeface="Calibri" panose="020F0502020204030204" pitchFamily="34" charset="0"/>
            </a:rPr>
            <a:t> del servicio DHL Parcel Europlus Doméstico</a:t>
          </a:r>
          <a:endParaRPr lang="es-ES" sz="14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254001</xdr:colOff>
      <xdr:row>38</xdr:row>
      <xdr:rowOff>1781</xdr:rowOff>
    </xdr:from>
    <xdr:to>
      <xdr:col>11</xdr:col>
      <xdr:colOff>603251</xdr:colOff>
      <xdr:row>48</xdr:row>
      <xdr:rowOff>8368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D758EE3-E20A-42C6-AD89-BD666E8E5D06}"/>
            </a:ext>
          </a:extLst>
        </xdr:cNvPr>
        <xdr:cNvSpPr txBox="1"/>
      </xdr:nvSpPr>
      <xdr:spPr>
        <a:xfrm>
          <a:off x="254001" y="17784956"/>
          <a:ext cx="7673975" cy="162583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r>
            <a:rPr lang="es-ES" sz="1000">
              <a:latin typeface="+mn-lt"/>
            </a:rPr>
            <a:t>1º</a:t>
          </a:r>
          <a:r>
            <a:rPr lang="es-ES" sz="1000" baseline="0">
              <a:latin typeface="+mn-lt"/>
            </a:rPr>
            <a:t> Los envíos internacionales están sometidos al régimen establecido en el Convenio CMR.</a:t>
          </a:r>
        </a:p>
        <a:p>
          <a:pPr marL="0" marR="0" lvl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2º La legislación portuguesa obliga a que toda la mercancia que viaje dentro del país vaya acompañada de la correspondiente factura por triplicado,  es preferible que vaya en sobres "Packing List" o "Contiene Documentación",o que los bienes transportados sean acompañados del correspondiente código numérico atribuido por la Autoridad Tributaria.</a:t>
          </a:r>
          <a:endParaRPr lang="es-ES" sz="1000" baseline="0">
            <a:latin typeface="+mn-lt"/>
          </a:endParaRPr>
        </a:p>
        <a:p>
          <a:pPr algn="just"/>
          <a:r>
            <a:rPr lang="es-ES" sz="1000" baseline="0">
              <a:latin typeface="+mn-lt"/>
            </a:rPr>
            <a:t>3º Reembolso. El servicio de gestión de cobro de las mercancías con cláusula "Contra reembolso" tiene un suplemento. El consignatario deberá entregar un cheque bancario internacional a nombre del remitente. </a:t>
          </a:r>
          <a:endParaRPr lang="es-ES" sz="10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just"/>
          <a:endParaRPr lang="es-ES" sz="1000">
            <a:latin typeface="+mn-lt"/>
          </a:endParaRPr>
        </a:p>
      </xdr:txBody>
    </xdr:sp>
    <xdr:clientData/>
  </xdr:twoCellAnchor>
  <xdr:twoCellAnchor>
    <xdr:from>
      <xdr:col>0</xdr:col>
      <xdr:colOff>264583</xdr:colOff>
      <xdr:row>53</xdr:row>
      <xdr:rowOff>43573</xdr:rowOff>
    </xdr:from>
    <xdr:to>
      <xdr:col>11</xdr:col>
      <xdr:colOff>649941</xdr:colOff>
      <xdr:row>59</xdr:row>
      <xdr:rowOff>126995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0D05865-CE5C-403D-BDDE-3D0E6A72BFE9}"/>
            </a:ext>
          </a:extLst>
        </xdr:cNvPr>
        <xdr:cNvSpPr txBox="1"/>
      </xdr:nvSpPr>
      <xdr:spPr>
        <a:xfrm>
          <a:off x="264583" y="20255623"/>
          <a:ext cx="7710083" cy="105497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000" b="1">
              <a:latin typeface="+mn-lt"/>
            </a:rPr>
            <a:t>Documentacion</a:t>
          </a:r>
          <a:r>
            <a:rPr lang="es-ES" sz="1000" b="1" baseline="0">
              <a:latin typeface="+mn-lt"/>
            </a:rPr>
            <a:t> necesaria:</a:t>
          </a:r>
          <a:br>
            <a:rPr lang="es-ES" sz="1000" b="1" baseline="0">
              <a:latin typeface="+mn-lt"/>
            </a:rPr>
          </a:br>
          <a:endParaRPr lang="es-ES" sz="1000" b="1" baseline="0">
            <a:latin typeface="+mn-lt"/>
          </a:endParaRPr>
        </a:p>
        <a:p>
          <a:pPr algn="just"/>
          <a:r>
            <a:rPr lang="es-ES" sz="1000" baseline="0">
              <a:latin typeface="+mn-lt"/>
            </a:rPr>
            <a:t>1º Factura original de compra-venta, más tres copias. Especificar claramente todos los datos fiscales del remitente y el consignatario y el valor de la mercancía, la cual debe acompañar al envío. </a:t>
          </a:r>
        </a:p>
        <a:p>
          <a:pPr algn="just"/>
          <a:r>
            <a:rPr lang="es-ES" sz="1000" baseline="0">
              <a:latin typeface="+mn-lt"/>
            </a:rPr>
            <a:t>2º Si se trata de una operación no comercial, se debe acompañar una declaración jurada del remitente, explicando el motivo de dicho envío, detallando el contenido y afirmando que se trata de un envío no comercial. </a:t>
          </a:r>
          <a:endParaRPr lang="es-ES" sz="1000">
            <a:latin typeface="+mn-lt"/>
          </a:endParaRPr>
        </a:p>
      </xdr:txBody>
    </xdr:sp>
    <xdr:clientData/>
  </xdr:twoCellAnchor>
  <xdr:twoCellAnchor>
    <xdr:from>
      <xdr:col>0</xdr:col>
      <xdr:colOff>254002</xdr:colOff>
      <xdr:row>65</xdr:row>
      <xdr:rowOff>64739</xdr:rowOff>
    </xdr:from>
    <xdr:to>
      <xdr:col>11</xdr:col>
      <xdr:colOff>476252</xdr:colOff>
      <xdr:row>76</xdr:row>
      <xdr:rowOff>74076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9CC7E51A-7742-4CE1-A239-E56B6F2A45A6}"/>
            </a:ext>
          </a:extLst>
        </xdr:cNvPr>
        <xdr:cNvSpPr txBox="1"/>
      </xdr:nvSpPr>
      <xdr:spPr>
        <a:xfrm>
          <a:off x="254002" y="22219889"/>
          <a:ext cx="7546975" cy="186671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1º Si no se especifica en la declaración de expedición, el servicio será el servicio Aéreo Urgente. </a:t>
          </a:r>
        </a:p>
        <a:p>
          <a:pPr algn="just"/>
          <a:r>
            <a:rPr lang="es-ES" sz="10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2</a:t>
          </a:r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º Envíos a Canarias exentos de IVA.</a:t>
          </a:r>
        </a:p>
        <a:p>
          <a:pPr algn="just"/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3º Se considera mercancia voluminosa y es facturada como tal aquella que no supere el ratio de 200 kg  por metro cúbico.</a:t>
          </a:r>
        </a:p>
        <a:p>
          <a:pPr algn="just"/>
          <a:endParaRPr lang="es-ES" sz="10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just"/>
          <a:r>
            <a:rPr lang="es-ES" sz="1000" b="1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Calibri" panose="020F0502020204030204" pitchFamily="34" charset="0"/>
            </a:rPr>
            <a:t>Documentación necesaria:</a:t>
          </a:r>
        </a:p>
        <a:p>
          <a:pPr algn="just"/>
          <a:endParaRPr lang="es-ES" sz="10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just"/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1º Todos los envíos a Canarias han de ir acompañados de la documentación necesaria para proceder al despacho de aduanas tanto en origen como en destino. </a:t>
          </a:r>
        </a:p>
        <a:p>
          <a:pPr algn="just"/>
          <a:r>
            <a:rPr lang="es-ES" sz="1000" baseline="0">
              <a:solidFill>
                <a:schemeClr val="dk1"/>
              </a:solidFill>
              <a:latin typeface="+mn-lt"/>
              <a:ea typeface="+mn-ea"/>
              <a:cs typeface="+mn-cs"/>
            </a:rPr>
            <a:t>2º Los envíos a Azores y Madeira no requieren despacho de aduanas. </a:t>
          </a:r>
        </a:p>
        <a:p>
          <a:pPr algn="just"/>
          <a:endParaRPr lang="es-ES" sz="100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algn="just"/>
          <a:endParaRPr lang="es-ES" sz="1000" baseline="0">
            <a:solidFill>
              <a:schemeClr val="dk1"/>
            </a:solidFill>
            <a:latin typeface="+mj-lt"/>
            <a:ea typeface="+mn-ea"/>
            <a:cs typeface="+mn-cs"/>
          </a:endParaRPr>
        </a:p>
      </xdr:txBody>
    </xdr:sp>
    <xdr:clientData/>
  </xdr:twoCellAnchor>
  <xdr:oneCellAnchor>
    <xdr:from>
      <xdr:col>10</xdr:col>
      <xdr:colOff>73770</xdr:colOff>
      <xdr:row>78</xdr:row>
      <xdr:rowOff>122261</xdr:rowOff>
    </xdr:from>
    <xdr:ext cx="1021605" cy="197117"/>
    <xdr:pic>
      <xdr:nvPicPr>
        <xdr:cNvPr id="14" name="Picture 13" descr="DHL_rgb_BG.png">
          <a:extLst>
            <a:ext uri="{FF2B5EF4-FFF2-40B4-BE49-F238E27FC236}">
              <a16:creationId xmlns:a16="http://schemas.microsoft.com/office/drawing/2014/main" id="{745EE217-2F23-47CA-B4B8-AD7F1E3B9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45995" y="24458636"/>
          <a:ext cx="1021605" cy="197117"/>
        </a:xfrm>
        <a:prstGeom prst="rect">
          <a:avLst/>
        </a:prstGeom>
      </xdr:spPr>
    </xdr:pic>
    <xdr:clientData/>
  </xdr:oneCellAnchor>
  <xdr:twoCellAnchor>
    <xdr:from>
      <xdr:col>2</xdr:col>
      <xdr:colOff>36561</xdr:colOff>
      <xdr:row>12</xdr:row>
      <xdr:rowOff>2588817</xdr:rowOff>
    </xdr:from>
    <xdr:to>
      <xdr:col>5</xdr:col>
      <xdr:colOff>13607</xdr:colOff>
      <xdr:row>12</xdr:row>
      <xdr:rowOff>3156857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9A75884-162B-4695-BAC4-8CE212A5A220}"/>
            </a:ext>
          </a:extLst>
        </xdr:cNvPr>
        <xdr:cNvSpPr txBox="1"/>
      </xdr:nvSpPr>
      <xdr:spPr>
        <a:xfrm>
          <a:off x="1074786" y="9932592"/>
          <a:ext cx="2263046" cy="568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latin typeface="+mn-lt"/>
            </a:rPr>
            <a:t>Recogida y entrega de tus </a:t>
          </a:r>
        </a:p>
        <a:p>
          <a:r>
            <a:rPr lang="es-ES" sz="1400" b="1">
              <a:latin typeface="+mn-lt"/>
            </a:rPr>
            <a:t>envios puerta a puerta</a:t>
          </a:r>
        </a:p>
      </xdr:txBody>
    </xdr:sp>
    <xdr:clientData/>
  </xdr:twoCellAnchor>
  <xdr:oneCellAnchor>
    <xdr:from>
      <xdr:col>10</xdr:col>
      <xdr:colOff>73770</xdr:colOff>
      <xdr:row>13</xdr:row>
      <xdr:rowOff>122261</xdr:rowOff>
    </xdr:from>
    <xdr:ext cx="1021605" cy="197117"/>
    <xdr:pic>
      <xdr:nvPicPr>
        <xdr:cNvPr id="16" name="Picture 15" descr="DHL_rgb_BG.png">
          <a:extLst>
            <a:ext uri="{FF2B5EF4-FFF2-40B4-BE49-F238E27FC236}">
              <a16:creationId xmlns:a16="http://schemas.microsoft.com/office/drawing/2014/main" id="{5F1F44D1-399E-4C8B-B21B-3380A2498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45995" y="12076136"/>
          <a:ext cx="1021605" cy="197117"/>
        </a:xfrm>
        <a:prstGeom prst="rect">
          <a:avLst/>
        </a:prstGeom>
      </xdr:spPr>
    </xdr:pic>
    <xdr:clientData/>
  </xdr:oneCellAnchor>
  <xdr:twoCellAnchor editAs="oneCell">
    <xdr:from>
      <xdr:col>1</xdr:col>
      <xdr:colOff>154504</xdr:colOff>
      <xdr:row>12</xdr:row>
      <xdr:rowOff>374475</xdr:rowOff>
    </xdr:from>
    <xdr:to>
      <xdr:col>1</xdr:col>
      <xdr:colOff>639535</xdr:colOff>
      <xdr:row>12</xdr:row>
      <xdr:rowOff>884792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160BADA3-412A-43B6-9630-8DF97FB61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0729" y="7718250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>
    <xdr:from>
      <xdr:col>2</xdr:col>
      <xdr:colOff>11228</xdr:colOff>
      <xdr:row>12</xdr:row>
      <xdr:rowOff>1450933</xdr:rowOff>
    </xdr:from>
    <xdr:to>
      <xdr:col>5</xdr:col>
      <xdr:colOff>418883</xdr:colOff>
      <xdr:row>12</xdr:row>
      <xdr:rowOff>2452242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F84CE13A-AAE5-4E28-9E3A-ABB8D70620C8}"/>
            </a:ext>
          </a:extLst>
        </xdr:cNvPr>
        <xdr:cNvSpPr txBox="1"/>
      </xdr:nvSpPr>
      <xdr:spPr>
        <a:xfrm>
          <a:off x="1049453" y="8794708"/>
          <a:ext cx="2693655" cy="10013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latin typeface="+mn-lt"/>
            </a:rPr>
            <a:t>Envío de paquetes,</a:t>
          </a:r>
        </a:p>
        <a:p>
          <a:r>
            <a:rPr lang="es-ES" sz="1400" b="1" baseline="0">
              <a:latin typeface="+mn-lt"/>
            </a:rPr>
            <a:t>multibultos y palets</a:t>
          </a:r>
        </a:p>
      </xdr:txBody>
    </xdr:sp>
    <xdr:clientData/>
  </xdr:twoCellAnchor>
  <xdr:twoCellAnchor editAs="oneCell">
    <xdr:from>
      <xdr:col>1</xdr:col>
      <xdr:colOff>157226</xdr:colOff>
      <xdr:row>12</xdr:row>
      <xdr:rowOff>1479375</xdr:rowOff>
    </xdr:from>
    <xdr:to>
      <xdr:col>1</xdr:col>
      <xdr:colOff>642257</xdr:colOff>
      <xdr:row>12</xdr:row>
      <xdr:rowOff>1989692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3EB5B63-B9DE-4EB5-A7E3-08F91A219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3451" y="8823150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 editAs="oneCell">
    <xdr:from>
      <xdr:col>1</xdr:col>
      <xdr:colOff>179400</xdr:colOff>
      <xdr:row>12</xdr:row>
      <xdr:rowOff>1539589</xdr:rowOff>
    </xdr:from>
    <xdr:to>
      <xdr:col>1</xdr:col>
      <xdr:colOff>598714</xdr:colOff>
      <xdr:row>12</xdr:row>
      <xdr:rowOff>1939644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9B406E7-0B5E-465C-8955-7AC24C9BC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5625" y="8883364"/>
          <a:ext cx="419314" cy="400055"/>
        </a:xfrm>
        <a:prstGeom prst="rect">
          <a:avLst/>
        </a:prstGeom>
      </xdr:spPr>
    </xdr:pic>
    <xdr:clientData/>
  </xdr:twoCellAnchor>
  <xdr:twoCellAnchor>
    <xdr:from>
      <xdr:col>1</xdr:col>
      <xdr:colOff>222160</xdr:colOff>
      <xdr:row>12</xdr:row>
      <xdr:rowOff>438173</xdr:rowOff>
    </xdr:from>
    <xdr:to>
      <xdr:col>1</xdr:col>
      <xdr:colOff>544286</xdr:colOff>
      <xdr:row>12</xdr:row>
      <xdr:rowOff>827206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2C4B9070-C5CE-43EC-A048-0A11AD40E9F2}"/>
            </a:ext>
          </a:extLst>
        </xdr:cNvPr>
        <xdr:cNvGrpSpPr/>
      </xdr:nvGrpSpPr>
      <xdr:grpSpPr>
        <a:xfrm>
          <a:off x="502307" y="7755614"/>
          <a:ext cx="322126" cy="389033"/>
          <a:chOff x="4894261" y="1993900"/>
          <a:chExt cx="471487" cy="569913"/>
        </a:xfrm>
      </xdr:grpSpPr>
      <xdr:sp macro="" textlink="">
        <xdr:nvSpPr>
          <xdr:cNvPr id="22" name="Freeform 22">
            <a:extLst>
              <a:ext uri="{FF2B5EF4-FFF2-40B4-BE49-F238E27FC236}">
                <a16:creationId xmlns:a16="http://schemas.microsoft.com/office/drawing/2014/main" id="{640B3A90-F9CB-8BCD-C0C0-B58C2EFF9DF9}"/>
              </a:ext>
            </a:extLst>
          </xdr:cNvPr>
          <xdr:cNvSpPr>
            <a:spLocks noEditPoints="1"/>
          </xdr:cNvSpPr>
        </xdr:nvSpPr>
        <xdr:spPr bwMode="auto">
          <a:xfrm>
            <a:off x="4894261" y="2090738"/>
            <a:ext cx="471487" cy="473075"/>
          </a:xfrm>
          <a:custGeom>
            <a:avLst/>
            <a:gdLst>
              <a:gd name="T0" fmla="*/ 63 w 126"/>
              <a:gd name="T1" fmla="*/ 0 h 126"/>
              <a:gd name="T2" fmla="*/ 0 w 126"/>
              <a:gd name="T3" fmla="*/ 63 h 126"/>
              <a:gd name="T4" fmla="*/ 63 w 126"/>
              <a:gd name="T5" fmla="*/ 126 h 126"/>
              <a:gd name="T6" fmla="*/ 126 w 126"/>
              <a:gd name="T7" fmla="*/ 63 h 126"/>
              <a:gd name="T8" fmla="*/ 63 w 126"/>
              <a:gd name="T9" fmla="*/ 0 h 126"/>
              <a:gd name="T10" fmla="*/ 63 w 126"/>
              <a:gd name="T11" fmla="*/ 109 h 126"/>
              <a:gd name="T12" fmla="*/ 17 w 126"/>
              <a:gd name="T13" fmla="*/ 63 h 126"/>
              <a:gd name="T14" fmla="*/ 63 w 126"/>
              <a:gd name="T15" fmla="*/ 16 h 126"/>
              <a:gd name="T16" fmla="*/ 110 w 126"/>
              <a:gd name="T17" fmla="*/ 63 h 126"/>
              <a:gd name="T18" fmla="*/ 63 w 126"/>
              <a:gd name="T19" fmla="*/ 109 h 1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26" h="126">
                <a:moveTo>
                  <a:pt x="63" y="0"/>
                </a:moveTo>
                <a:cubicBezTo>
                  <a:pt x="28" y="0"/>
                  <a:pt x="0" y="28"/>
                  <a:pt x="0" y="63"/>
                </a:cubicBezTo>
                <a:cubicBezTo>
                  <a:pt x="0" y="98"/>
                  <a:pt x="28" y="126"/>
                  <a:pt x="63" y="126"/>
                </a:cubicBezTo>
                <a:cubicBezTo>
                  <a:pt x="98" y="126"/>
                  <a:pt x="126" y="98"/>
                  <a:pt x="126" y="63"/>
                </a:cubicBezTo>
                <a:cubicBezTo>
                  <a:pt x="126" y="28"/>
                  <a:pt x="98" y="0"/>
                  <a:pt x="63" y="0"/>
                </a:cubicBezTo>
                <a:close/>
                <a:moveTo>
                  <a:pt x="63" y="109"/>
                </a:moveTo>
                <a:cubicBezTo>
                  <a:pt x="37" y="109"/>
                  <a:pt x="17" y="89"/>
                  <a:pt x="17" y="63"/>
                </a:cubicBezTo>
                <a:cubicBezTo>
                  <a:pt x="17" y="37"/>
                  <a:pt x="37" y="16"/>
                  <a:pt x="63" y="16"/>
                </a:cubicBezTo>
                <a:cubicBezTo>
                  <a:pt x="89" y="16"/>
                  <a:pt x="110" y="37"/>
                  <a:pt x="110" y="63"/>
                </a:cubicBezTo>
                <a:cubicBezTo>
                  <a:pt x="110" y="89"/>
                  <a:pt x="89" y="109"/>
                  <a:pt x="63" y="109"/>
                </a:cubicBez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3" name="Freeform 23">
            <a:extLst>
              <a:ext uri="{FF2B5EF4-FFF2-40B4-BE49-F238E27FC236}">
                <a16:creationId xmlns:a16="http://schemas.microsoft.com/office/drawing/2014/main" id="{91ED3EC4-1DAE-3DD1-2DEE-2907A51361E3}"/>
              </a:ext>
            </a:extLst>
          </xdr:cNvPr>
          <xdr:cNvSpPr>
            <a:spLocks/>
          </xdr:cNvSpPr>
        </xdr:nvSpPr>
        <xdr:spPr bwMode="auto">
          <a:xfrm>
            <a:off x="5087938" y="1993900"/>
            <a:ext cx="82550" cy="63500"/>
          </a:xfrm>
          <a:custGeom>
            <a:avLst/>
            <a:gdLst>
              <a:gd name="T0" fmla="*/ 22 w 22"/>
              <a:gd name="T1" fmla="*/ 17 h 17"/>
              <a:gd name="T2" fmla="*/ 0 w 22"/>
              <a:gd name="T3" fmla="*/ 17 h 17"/>
              <a:gd name="T4" fmla="*/ 0 w 22"/>
              <a:gd name="T5" fmla="*/ 0 h 17"/>
              <a:gd name="T6" fmla="*/ 22 w 22"/>
              <a:gd name="T7" fmla="*/ 0 h 17"/>
              <a:gd name="T8" fmla="*/ 22 w 22"/>
              <a:gd name="T9" fmla="*/ 17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2" h="17">
                <a:moveTo>
                  <a:pt x="22" y="17"/>
                </a:moveTo>
                <a:cubicBezTo>
                  <a:pt x="14" y="15"/>
                  <a:pt x="0" y="17"/>
                  <a:pt x="0" y="17"/>
                </a:cubicBezTo>
                <a:cubicBezTo>
                  <a:pt x="0" y="0"/>
                  <a:pt x="0" y="0"/>
                  <a:pt x="0" y="0"/>
                </a:cubicBezTo>
                <a:cubicBezTo>
                  <a:pt x="22" y="0"/>
                  <a:pt x="22" y="0"/>
                  <a:pt x="22" y="0"/>
                </a:cubicBezTo>
                <a:cubicBezTo>
                  <a:pt x="22" y="0"/>
                  <a:pt x="22" y="15"/>
                  <a:pt x="22" y="17"/>
                </a:cubicBez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4" name="Freeform 24">
            <a:extLst>
              <a:ext uri="{FF2B5EF4-FFF2-40B4-BE49-F238E27FC236}">
                <a16:creationId xmlns:a16="http://schemas.microsoft.com/office/drawing/2014/main" id="{3D6E6A54-4D65-3A21-81B8-820C9DB44CCE}"/>
              </a:ext>
            </a:extLst>
          </xdr:cNvPr>
          <xdr:cNvSpPr>
            <a:spLocks/>
          </xdr:cNvSpPr>
        </xdr:nvSpPr>
        <xdr:spPr bwMode="auto">
          <a:xfrm>
            <a:off x="5260975" y="2046288"/>
            <a:ext cx="71437" cy="71438"/>
          </a:xfrm>
          <a:custGeom>
            <a:avLst/>
            <a:gdLst>
              <a:gd name="T0" fmla="*/ 12 w 19"/>
              <a:gd name="T1" fmla="*/ 19 h 19"/>
              <a:gd name="T2" fmla="*/ 0 w 19"/>
              <a:gd name="T3" fmla="*/ 11 h 19"/>
              <a:gd name="T4" fmla="*/ 7 w 19"/>
              <a:gd name="T5" fmla="*/ 0 h 19"/>
              <a:gd name="T6" fmla="*/ 19 w 19"/>
              <a:gd name="T7" fmla="*/ 8 h 19"/>
              <a:gd name="T8" fmla="*/ 12 w 19"/>
              <a:gd name="T9" fmla="*/ 19 h 1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9" h="19">
                <a:moveTo>
                  <a:pt x="12" y="19"/>
                </a:moveTo>
                <a:cubicBezTo>
                  <a:pt x="9" y="16"/>
                  <a:pt x="0" y="11"/>
                  <a:pt x="0" y="11"/>
                </a:cubicBezTo>
                <a:cubicBezTo>
                  <a:pt x="7" y="0"/>
                  <a:pt x="7" y="0"/>
                  <a:pt x="7" y="0"/>
                </a:cubicBezTo>
                <a:cubicBezTo>
                  <a:pt x="19" y="8"/>
                  <a:pt x="19" y="8"/>
                  <a:pt x="19" y="8"/>
                </a:cubicBezTo>
                <a:cubicBezTo>
                  <a:pt x="19" y="8"/>
                  <a:pt x="12" y="18"/>
                  <a:pt x="12" y="19"/>
                </a:cubicBez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84B798D9-19D6-54F6-5B17-0B14853B34C6}"/>
              </a:ext>
            </a:extLst>
          </xdr:cNvPr>
          <xdr:cNvSpPr>
            <a:spLocks noChangeArrowheads="1"/>
          </xdr:cNvSpPr>
        </xdr:nvSpPr>
        <xdr:spPr bwMode="auto">
          <a:xfrm>
            <a:off x="4979988" y="2312988"/>
            <a:ext cx="38100" cy="25400"/>
          </a:xfrm>
          <a:prstGeom prst="rect">
            <a:avLst/>
          </a:pr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640F4B1F-0671-1A8C-555E-4590BD267983}"/>
              </a:ext>
            </a:extLst>
          </xdr:cNvPr>
          <xdr:cNvSpPr>
            <a:spLocks noChangeArrowheads="1"/>
          </xdr:cNvSpPr>
        </xdr:nvSpPr>
        <xdr:spPr bwMode="auto">
          <a:xfrm>
            <a:off x="5118100" y="2439988"/>
            <a:ext cx="26987" cy="38100"/>
          </a:xfrm>
          <a:prstGeom prst="rect">
            <a:avLst/>
          </a:pr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F7A0BEF-7841-FB02-5A8F-CE6C8FF48AED}"/>
              </a:ext>
            </a:extLst>
          </xdr:cNvPr>
          <xdr:cNvSpPr>
            <a:spLocks noChangeArrowheads="1"/>
          </xdr:cNvSpPr>
        </xdr:nvSpPr>
        <xdr:spPr bwMode="auto">
          <a:xfrm>
            <a:off x="5246688" y="2312988"/>
            <a:ext cx="36512" cy="25400"/>
          </a:xfrm>
          <a:prstGeom prst="rect">
            <a:avLst/>
          </a:pr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8" name="Freeform 28">
            <a:extLst>
              <a:ext uri="{FF2B5EF4-FFF2-40B4-BE49-F238E27FC236}">
                <a16:creationId xmlns:a16="http://schemas.microsoft.com/office/drawing/2014/main" id="{76C0B4BB-7DAE-4DF0-CFAE-A5FD92976239}"/>
              </a:ext>
            </a:extLst>
          </xdr:cNvPr>
          <xdr:cNvSpPr>
            <a:spLocks/>
          </xdr:cNvSpPr>
        </xdr:nvSpPr>
        <xdr:spPr bwMode="auto">
          <a:xfrm>
            <a:off x="5013325" y="2211388"/>
            <a:ext cx="46037" cy="41275"/>
          </a:xfrm>
          <a:custGeom>
            <a:avLst/>
            <a:gdLst>
              <a:gd name="T0" fmla="*/ 17 w 29"/>
              <a:gd name="T1" fmla="*/ 26 h 26"/>
              <a:gd name="T2" fmla="*/ 0 w 29"/>
              <a:gd name="T3" fmla="*/ 12 h 26"/>
              <a:gd name="T4" fmla="*/ 12 w 29"/>
              <a:gd name="T5" fmla="*/ 0 h 26"/>
              <a:gd name="T6" fmla="*/ 29 w 29"/>
              <a:gd name="T7" fmla="*/ 14 h 26"/>
              <a:gd name="T8" fmla="*/ 17 w 29"/>
              <a:gd name="T9" fmla="*/ 26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9" h="26">
                <a:moveTo>
                  <a:pt x="17" y="26"/>
                </a:moveTo>
                <a:lnTo>
                  <a:pt x="0" y="12"/>
                </a:lnTo>
                <a:lnTo>
                  <a:pt x="12" y="0"/>
                </a:lnTo>
                <a:lnTo>
                  <a:pt x="29" y="14"/>
                </a:lnTo>
                <a:lnTo>
                  <a:pt x="17" y="26"/>
                </a:ln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29" name="Freeform 29">
            <a:extLst>
              <a:ext uri="{FF2B5EF4-FFF2-40B4-BE49-F238E27FC236}">
                <a16:creationId xmlns:a16="http://schemas.microsoft.com/office/drawing/2014/main" id="{BDB96A80-7093-5667-A0F9-E1E0CFCF780D}"/>
              </a:ext>
            </a:extLst>
          </xdr:cNvPr>
          <xdr:cNvSpPr>
            <a:spLocks/>
          </xdr:cNvSpPr>
        </xdr:nvSpPr>
        <xdr:spPr bwMode="auto">
          <a:xfrm>
            <a:off x="5205413" y="2211388"/>
            <a:ext cx="41275" cy="41275"/>
          </a:xfrm>
          <a:custGeom>
            <a:avLst/>
            <a:gdLst>
              <a:gd name="T0" fmla="*/ 11 w 26"/>
              <a:gd name="T1" fmla="*/ 26 h 26"/>
              <a:gd name="T2" fmla="*/ 26 w 26"/>
              <a:gd name="T3" fmla="*/ 12 h 26"/>
              <a:gd name="T4" fmla="*/ 14 w 26"/>
              <a:gd name="T5" fmla="*/ 0 h 26"/>
              <a:gd name="T6" fmla="*/ 0 w 26"/>
              <a:gd name="T7" fmla="*/ 14 h 26"/>
              <a:gd name="T8" fmla="*/ 11 w 26"/>
              <a:gd name="T9" fmla="*/ 26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" h="26">
                <a:moveTo>
                  <a:pt x="11" y="26"/>
                </a:moveTo>
                <a:lnTo>
                  <a:pt x="26" y="12"/>
                </a:lnTo>
                <a:lnTo>
                  <a:pt x="14" y="0"/>
                </a:lnTo>
                <a:lnTo>
                  <a:pt x="0" y="14"/>
                </a:lnTo>
                <a:lnTo>
                  <a:pt x="11" y="26"/>
                </a:ln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30" name="Freeform 30">
            <a:extLst>
              <a:ext uri="{FF2B5EF4-FFF2-40B4-BE49-F238E27FC236}">
                <a16:creationId xmlns:a16="http://schemas.microsoft.com/office/drawing/2014/main" id="{6344E5E7-6BF8-66C6-D3DE-991F06D56F25}"/>
              </a:ext>
            </a:extLst>
          </xdr:cNvPr>
          <xdr:cNvSpPr>
            <a:spLocks/>
          </xdr:cNvSpPr>
        </xdr:nvSpPr>
        <xdr:spPr bwMode="auto">
          <a:xfrm>
            <a:off x="5013325" y="2398713"/>
            <a:ext cx="46037" cy="41275"/>
          </a:xfrm>
          <a:custGeom>
            <a:avLst/>
            <a:gdLst>
              <a:gd name="T0" fmla="*/ 17 w 29"/>
              <a:gd name="T1" fmla="*/ 0 h 26"/>
              <a:gd name="T2" fmla="*/ 0 w 29"/>
              <a:gd name="T3" fmla="*/ 14 h 26"/>
              <a:gd name="T4" fmla="*/ 12 w 29"/>
              <a:gd name="T5" fmla="*/ 26 h 26"/>
              <a:gd name="T6" fmla="*/ 29 w 29"/>
              <a:gd name="T7" fmla="*/ 12 h 26"/>
              <a:gd name="T8" fmla="*/ 17 w 29"/>
              <a:gd name="T9" fmla="*/ 0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9" h="26">
                <a:moveTo>
                  <a:pt x="17" y="0"/>
                </a:moveTo>
                <a:lnTo>
                  <a:pt x="0" y="14"/>
                </a:lnTo>
                <a:lnTo>
                  <a:pt x="12" y="26"/>
                </a:lnTo>
                <a:lnTo>
                  <a:pt x="29" y="12"/>
                </a:lnTo>
                <a:lnTo>
                  <a:pt x="17" y="0"/>
                </a:ln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31" name="Freeform 31">
            <a:extLst>
              <a:ext uri="{FF2B5EF4-FFF2-40B4-BE49-F238E27FC236}">
                <a16:creationId xmlns:a16="http://schemas.microsoft.com/office/drawing/2014/main" id="{86133CC0-AD3A-142E-FD17-CC9EDDB5835D}"/>
              </a:ext>
            </a:extLst>
          </xdr:cNvPr>
          <xdr:cNvSpPr>
            <a:spLocks/>
          </xdr:cNvSpPr>
        </xdr:nvSpPr>
        <xdr:spPr bwMode="auto">
          <a:xfrm>
            <a:off x="5205413" y="2398713"/>
            <a:ext cx="41275" cy="41275"/>
          </a:xfrm>
          <a:custGeom>
            <a:avLst/>
            <a:gdLst>
              <a:gd name="T0" fmla="*/ 11 w 26"/>
              <a:gd name="T1" fmla="*/ 0 h 26"/>
              <a:gd name="T2" fmla="*/ 26 w 26"/>
              <a:gd name="T3" fmla="*/ 14 h 26"/>
              <a:gd name="T4" fmla="*/ 14 w 26"/>
              <a:gd name="T5" fmla="*/ 26 h 26"/>
              <a:gd name="T6" fmla="*/ 0 w 26"/>
              <a:gd name="T7" fmla="*/ 12 h 26"/>
              <a:gd name="T8" fmla="*/ 11 w 26"/>
              <a:gd name="T9" fmla="*/ 0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" h="26">
                <a:moveTo>
                  <a:pt x="11" y="0"/>
                </a:moveTo>
                <a:lnTo>
                  <a:pt x="26" y="14"/>
                </a:lnTo>
                <a:lnTo>
                  <a:pt x="14" y="26"/>
                </a:lnTo>
                <a:lnTo>
                  <a:pt x="0" y="12"/>
                </a:lnTo>
                <a:lnTo>
                  <a:pt x="11" y="0"/>
                </a:ln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  <xdr:sp macro="" textlink="">
        <xdr:nvSpPr>
          <xdr:cNvPr id="32" name="Freeform 32">
            <a:extLst>
              <a:ext uri="{FF2B5EF4-FFF2-40B4-BE49-F238E27FC236}">
                <a16:creationId xmlns:a16="http://schemas.microsoft.com/office/drawing/2014/main" id="{5C1E93E8-FE80-1B9A-9375-ABF8B1055259}"/>
              </a:ext>
            </a:extLst>
          </xdr:cNvPr>
          <xdr:cNvSpPr>
            <a:spLocks/>
          </xdr:cNvSpPr>
        </xdr:nvSpPr>
        <xdr:spPr bwMode="auto">
          <a:xfrm>
            <a:off x="5087938" y="2178050"/>
            <a:ext cx="87312" cy="204788"/>
          </a:xfrm>
          <a:custGeom>
            <a:avLst/>
            <a:gdLst>
              <a:gd name="T0" fmla="*/ 18 w 23"/>
              <a:gd name="T1" fmla="*/ 34 h 55"/>
              <a:gd name="T2" fmla="*/ 13 w 23"/>
              <a:gd name="T3" fmla="*/ 3 h 55"/>
              <a:gd name="T4" fmla="*/ 11 w 23"/>
              <a:gd name="T5" fmla="*/ 0 h 55"/>
              <a:gd name="T6" fmla="*/ 10 w 23"/>
              <a:gd name="T7" fmla="*/ 3 h 55"/>
              <a:gd name="T8" fmla="*/ 5 w 23"/>
              <a:gd name="T9" fmla="*/ 34 h 55"/>
              <a:gd name="T10" fmla="*/ 0 w 23"/>
              <a:gd name="T11" fmla="*/ 43 h 55"/>
              <a:gd name="T12" fmla="*/ 12 w 23"/>
              <a:gd name="T13" fmla="*/ 55 h 55"/>
              <a:gd name="T14" fmla="*/ 23 w 23"/>
              <a:gd name="T15" fmla="*/ 43 h 55"/>
              <a:gd name="T16" fmla="*/ 18 w 23"/>
              <a:gd name="T17" fmla="*/ 34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23" h="55">
                <a:moveTo>
                  <a:pt x="18" y="34"/>
                </a:moveTo>
                <a:cubicBezTo>
                  <a:pt x="13" y="3"/>
                  <a:pt x="13" y="3"/>
                  <a:pt x="13" y="3"/>
                </a:cubicBezTo>
                <a:cubicBezTo>
                  <a:pt x="13" y="3"/>
                  <a:pt x="13" y="0"/>
                  <a:pt x="11" y="0"/>
                </a:cubicBezTo>
                <a:cubicBezTo>
                  <a:pt x="10" y="0"/>
                  <a:pt x="10" y="3"/>
                  <a:pt x="10" y="3"/>
                </a:cubicBezTo>
                <a:cubicBezTo>
                  <a:pt x="10" y="3"/>
                  <a:pt x="6" y="26"/>
                  <a:pt x="5" y="34"/>
                </a:cubicBezTo>
                <a:cubicBezTo>
                  <a:pt x="2" y="36"/>
                  <a:pt x="0" y="39"/>
                  <a:pt x="0" y="43"/>
                </a:cubicBezTo>
                <a:cubicBezTo>
                  <a:pt x="0" y="49"/>
                  <a:pt x="5" y="55"/>
                  <a:pt x="12" y="55"/>
                </a:cubicBezTo>
                <a:cubicBezTo>
                  <a:pt x="18" y="55"/>
                  <a:pt x="23" y="49"/>
                  <a:pt x="23" y="43"/>
                </a:cubicBezTo>
                <a:cubicBezTo>
                  <a:pt x="23" y="39"/>
                  <a:pt x="21" y="36"/>
                  <a:pt x="18" y="34"/>
                </a:cubicBezTo>
                <a:close/>
              </a:path>
            </a:pathLst>
          </a:custGeom>
          <a:solidFill>
            <a:srgbClr val="D3072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de-DE"/>
          </a:p>
        </xdr:txBody>
      </xdr:sp>
    </xdr:grpSp>
    <xdr:clientData/>
  </xdr:twoCellAnchor>
  <xdr:twoCellAnchor editAs="oneCell">
    <xdr:from>
      <xdr:col>1</xdr:col>
      <xdr:colOff>146340</xdr:colOff>
      <xdr:row>12</xdr:row>
      <xdr:rowOff>2597882</xdr:rowOff>
    </xdr:from>
    <xdr:to>
      <xdr:col>1</xdr:col>
      <xdr:colOff>631371</xdr:colOff>
      <xdr:row>12</xdr:row>
      <xdr:rowOff>3108199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4B0193C6-43A3-4050-ACB8-9DFAFC6DA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2565" y="9941657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 editAs="oneCell">
    <xdr:from>
      <xdr:col>1</xdr:col>
      <xdr:colOff>204232</xdr:colOff>
      <xdr:row>12</xdr:row>
      <xdr:rowOff>2651243</xdr:rowOff>
    </xdr:from>
    <xdr:to>
      <xdr:col>1</xdr:col>
      <xdr:colOff>588313</xdr:colOff>
      <xdr:row>12</xdr:row>
      <xdr:rowOff>3030995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B34118BB-8817-43F1-AAB5-22BB7AD57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0457" y="9995018"/>
          <a:ext cx="384081" cy="379752"/>
        </a:xfrm>
        <a:prstGeom prst="rect">
          <a:avLst/>
        </a:prstGeom>
      </xdr:spPr>
    </xdr:pic>
    <xdr:clientData/>
  </xdr:twoCellAnchor>
  <xdr:twoCellAnchor>
    <xdr:from>
      <xdr:col>6</xdr:col>
      <xdr:colOff>471149</xdr:colOff>
      <xdr:row>12</xdr:row>
      <xdr:rowOff>346033</xdr:rowOff>
    </xdr:from>
    <xdr:to>
      <xdr:col>10</xdr:col>
      <xdr:colOff>870145</xdr:colOff>
      <xdr:row>12</xdr:row>
      <xdr:rowOff>1347342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91BDA9DD-2618-49B8-BE50-27FF7B4E415B}"/>
            </a:ext>
          </a:extLst>
        </xdr:cNvPr>
        <xdr:cNvSpPr txBox="1"/>
      </xdr:nvSpPr>
      <xdr:spPr>
        <a:xfrm>
          <a:off x="4557374" y="7689808"/>
          <a:ext cx="2684996" cy="10013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latin typeface="+mn-lt"/>
            </a:rPr>
            <a:t>Un área de clientes para</a:t>
          </a:r>
        </a:p>
        <a:p>
          <a:r>
            <a:rPr lang="es-ES" sz="1400" b="1" baseline="0">
              <a:latin typeface="+mn-lt"/>
            </a:rPr>
            <a:t>gestionar tus envíos</a:t>
          </a:r>
        </a:p>
      </xdr:txBody>
    </xdr:sp>
    <xdr:clientData/>
  </xdr:twoCellAnchor>
  <xdr:twoCellAnchor>
    <xdr:from>
      <xdr:col>6</xdr:col>
      <xdr:colOff>518254</xdr:colOff>
      <xdr:row>12</xdr:row>
      <xdr:rowOff>1464867</xdr:rowOff>
    </xdr:from>
    <xdr:to>
      <xdr:col>10</xdr:col>
      <xdr:colOff>486641</xdr:colOff>
      <xdr:row>12</xdr:row>
      <xdr:rowOff>2032907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47B46C7A-A2CB-4001-A3DF-B91829975727}"/>
            </a:ext>
          </a:extLst>
        </xdr:cNvPr>
        <xdr:cNvSpPr txBox="1"/>
      </xdr:nvSpPr>
      <xdr:spPr>
        <a:xfrm>
          <a:off x="4604479" y="8808642"/>
          <a:ext cx="2254387" cy="568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latin typeface="+mn-lt"/>
            </a:rPr>
            <a:t>Servicios</a:t>
          </a:r>
          <a:r>
            <a:rPr lang="es-ES" sz="1400" b="1" baseline="0">
              <a:latin typeface="+mn-lt"/>
            </a:rPr>
            <a:t> de valor</a:t>
          </a:r>
        </a:p>
        <a:p>
          <a:r>
            <a:rPr lang="es-ES" sz="1400" b="1" baseline="0">
              <a:latin typeface="+mn-lt"/>
            </a:rPr>
            <a:t>añadido</a:t>
          </a:r>
          <a:endParaRPr lang="es-ES" sz="1400" b="1">
            <a:latin typeface="+mn-lt"/>
          </a:endParaRPr>
        </a:p>
      </xdr:txBody>
    </xdr:sp>
    <xdr:clientData/>
  </xdr:twoCellAnchor>
  <xdr:twoCellAnchor editAs="oneCell">
    <xdr:from>
      <xdr:col>5</xdr:col>
      <xdr:colOff>617147</xdr:colOff>
      <xdr:row>12</xdr:row>
      <xdr:rowOff>374475</xdr:rowOff>
    </xdr:from>
    <xdr:to>
      <xdr:col>6</xdr:col>
      <xdr:colOff>340178</xdr:colOff>
      <xdr:row>12</xdr:row>
      <xdr:rowOff>884792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5E6B09DE-A2DE-4C96-A5CD-FA0F30932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41372" y="7718250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>
    <xdr:from>
      <xdr:col>6</xdr:col>
      <xdr:colOff>492921</xdr:colOff>
      <xdr:row>12</xdr:row>
      <xdr:rowOff>2555834</xdr:rowOff>
    </xdr:from>
    <xdr:to>
      <xdr:col>11</xdr:col>
      <xdr:colOff>391391</xdr:colOff>
      <xdr:row>12</xdr:row>
      <xdr:rowOff>3131128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A94BB283-E8F3-4DD1-AECF-1F70AC54B6D9}"/>
            </a:ext>
          </a:extLst>
        </xdr:cNvPr>
        <xdr:cNvSpPr txBox="1"/>
      </xdr:nvSpPr>
      <xdr:spPr>
        <a:xfrm>
          <a:off x="4579146" y="9899609"/>
          <a:ext cx="3136970" cy="5752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latin typeface="+mn-lt"/>
            </a:rPr>
            <a:t>Certificados ISO de calidad y medio</a:t>
          </a:r>
        </a:p>
        <a:p>
          <a:r>
            <a:rPr lang="es-ES" sz="1400" b="1" baseline="0">
              <a:latin typeface="+mn-lt"/>
            </a:rPr>
            <a:t>ambiente: ISO 9001 / ISO 14001</a:t>
          </a:r>
        </a:p>
        <a:p>
          <a:endParaRPr lang="es-ES" sz="1400" b="1" baseline="0">
            <a:latin typeface="+mn-lt"/>
          </a:endParaRPr>
        </a:p>
      </xdr:txBody>
    </xdr:sp>
    <xdr:clientData/>
  </xdr:twoCellAnchor>
  <xdr:twoCellAnchor editAs="oneCell">
    <xdr:from>
      <xdr:col>5</xdr:col>
      <xdr:colOff>638919</xdr:colOff>
      <xdr:row>12</xdr:row>
      <xdr:rowOff>2584275</xdr:rowOff>
    </xdr:from>
    <xdr:to>
      <xdr:col>6</xdr:col>
      <xdr:colOff>361950</xdr:colOff>
      <xdr:row>12</xdr:row>
      <xdr:rowOff>3094592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6ABA343-D626-44EF-A4F1-8586C9EE5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63144" y="9928050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 editAs="oneCell">
    <xdr:from>
      <xdr:col>5</xdr:col>
      <xdr:colOff>628033</xdr:colOff>
      <xdr:row>12</xdr:row>
      <xdr:rowOff>1473932</xdr:rowOff>
    </xdr:from>
    <xdr:to>
      <xdr:col>6</xdr:col>
      <xdr:colOff>351064</xdr:colOff>
      <xdr:row>12</xdr:row>
      <xdr:rowOff>1984249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49D32E50-4F58-49B0-8CE4-8A77ABC37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52258" y="8817707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>
    <xdr:from>
      <xdr:col>5</xdr:col>
      <xdr:colOff>727211</xdr:colOff>
      <xdr:row>12</xdr:row>
      <xdr:rowOff>500171</xdr:rowOff>
    </xdr:from>
    <xdr:to>
      <xdr:col>6</xdr:col>
      <xdr:colOff>223287</xdr:colOff>
      <xdr:row>12</xdr:row>
      <xdr:rowOff>718705</xdr:rowOff>
    </xdr:to>
    <xdr:sp macro="" textlink="">
      <xdr:nvSpPr>
        <xdr:cNvPr id="41" name="Freeform 41">
          <a:extLst>
            <a:ext uri="{FF2B5EF4-FFF2-40B4-BE49-F238E27FC236}">
              <a16:creationId xmlns:a16="http://schemas.microsoft.com/office/drawing/2014/main" id="{147D0406-2E2C-4844-829F-81516AA94053}"/>
            </a:ext>
          </a:extLst>
        </xdr:cNvPr>
        <xdr:cNvSpPr>
          <a:spLocks noChangeAspect="1" noEditPoints="1"/>
        </xdr:cNvSpPr>
      </xdr:nvSpPr>
      <xdr:spPr bwMode="gray">
        <a:xfrm>
          <a:off x="4051436" y="7843946"/>
          <a:ext cx="258076" cy="218534"/>
        </a:xfrm>
        <a:custGeom>
          <a:avLst/>
          <a:gdLst>
            <a:gd name="T0" fmla="*/ 926 w 1802"/>
            <a:gd name="T1" fmla="*/ 1214 h 1518"/>
            <a:gd name="T2" fmla="*/ 928 w 1802"/>
            <a:gd name="T3" fmla="*/ 1210 h 1518"/>
            <a:gd name="T4" fmla="*/ 196 w 1802"/>
            <a:gd name="T5" fmla="*/ 1210 h 1518"/>
            <a:gd name="T6" fmla="*/ 196 w 1802"/>
            <a:gd name="T7" fmla="*/ 175 h 1518"/>
            <a:gd name="T8" fmla="*/ 1604 w 1802"/>
            <a:gd name="T9" fmla="*/ 175 h 1518"/>
            <a:gd name="T10" fmla="*/ 1604 w 1802"/>
            <a:gd name="T11" fmla="*/ 796 h 1518"/>
            <a:gd name="T12" fmla="*/ 1801 w 1802"/>
            <a:gd name="T13" fmla="*/ 1056 h 1518"/>
            <a:gd name="T14" fmla="*/ 1801 w 1802"/>
            <a:gd name="T15" fmla="*/ 140 h 1518"/>
            <a:gd name="T16" fmla="*/ 1661 w 1802"/>
            <a:gd name="T17" fmla="*/ 0 h 1518"/>
            <a:gd name="T18" fmla="*/ 140 w 1802"/>
            <a:gd name="T19" fmla="*/ 0 h 1518"/>
            <a:gd name="T20" fmla="*/ 0 w 1802"/>
            <a:gd name="T21" fmla="*/ 140 h 1518"/>
            <a:gd name="T22" fmla="*/ 0 w 1802"/>
            <a:gd name="T23" fmla="*/ 1245 h 1518"/>
            <a:gd name="T24" fmla="*/ 140 w 1802"/>
            <a:gd name="T25" fmla="*/ 1385 h 1518"/>
            <a:gd name="T26" fmla="*/ 1004 w 1802"/>
            <a:gd name="T27" fmla="*/ 1385 h 1518"/>
            <a:gd name="T28" fmla="*/ 926 w 1802"/>
            <a:gd name="T29" fmla="*/ 1214 h 1518"/>
            <a:gd name="T30" fmla="*/ 955 w 1802"/>
            <a:gd name="T31" fmla="*/ 653 h 1518"/>
            <a:gd name="T32" fmla="*/ 1064 w 1802"/>
            <a:gd name="T33" fmla="*/ 734 h 1518"/>
            <a:gd name="T34" fmla="*/ 999 w 1802"/>
            <a:gd name="T35" fmla="*/ 712 h 1518"/>
            <a:gd name="T36" fmla="*/ 932 w 1802"/>
            <a:gd name="T37" fmla="*/ 734 h 1518"/>
            <a:gd name="T38" fmla="*/ 889 w 1802"/>
            <a:gd name="T39" fmla="*/ 859 h 1518"/>
            <a:gd name="T40" fmla="*/ 889 w 1802"/>
            <a:gd name="T41" fmla="*/ 674 h 1518"/>
            <a:gd name="T42" fmla="*/ 955 w 1802"/>
            <a:gd name="T43" fmla="*/ 653 h 1518"/>
            <a:gd name="T44" fmla="*/ 1007 w 1802"/>
            <a:gd name="T45" fmla="*/ 774 h 1518"/>
            <a:gd name="T46" fmla="*/ 1060 w 1802"/>
            <a:gd name="T47" fmla="*/ 802 h 1518"/>
            <a:gd name="T48" fmla="*/ 1219 w 1802"/>
            <a:gd name="T49" fmla="*/ 1024 h 1518"/>
            <a:gd name="T50" fmla="*/ 1238 w 1802"/>
            <a:gd name="T51" fmla="*/ 1034 h 1518"/>
            <a:gd name="T52" fmla="*/ 1252 w 1802"/>
            <a:gd name="T53" fmla="*/ 1029 h 1518"/>
            <a:gd name="T54" fmla="*/ 1258 w 1802"/>
            <a:gd name="T55" fmla="*/ 996 h 1518"/>
            <a:gd name="T56" fmla="*/ 1219 w 1802"/>
            <a:gd name="T57" fmla="*/ 941 h 1518"/>
            <a:gd name="T58" fmla="*/ 1281 w 1802"/>
            <a:gd name="T59" fmla="*/ 925 h 1518"/>
            <a:gd name="T60" fmla="*/ 1291 w 1802"/>
            <a:gd name="T61" fmla="*/ 924 h 1518"/>
            <a:gd name="T62" fmla="*/ 1325 w 1802"/>
            <a:gd name="T63" fmla="*/ 942 h 1518"/>
            <a:gd name="T64" fmla="*/ 1357 w 1802"/>
            <a:gd name="T65" fmla="*/ 986 h 1518"/>
            <a:gd name="T66" fmla="*/ 1376 w 1802"/>
            <a:gd name="T67" fmla="*/ 996 h 1518"/>
            <a:gd name="T68" fmla="*/ 1390 w 1802"/>
            <a:gd name="T69" fmla="*/ 992 h 1518"/>
            <a:gd name="T70" fmla="*/ 1396 w 1802"/>
            <a:gd name="T71" fmla="*/ 959 h 1518"/>
            <a:gd name="T72" fmla="*/ 1359 w 1802"/>
            <a:gd name="T73" fmla="*/ 907 h 1518"/>
            <a:gd name="T74" fmla="*/ 1421 w 1802"/>
            <a:gd name="T75" fmla="*/ 893 h 1518"/>
            <a:gd name="T76" fmla="*/ 1429 w 1802"/>
            <a:gd name="T77" fmla="*/ 892 h 1518"/>
            <a:gd name="T78" fmla="*/ 1463 w 1802"/>
            <a:gd name="T79" fmla="*/ 910 h 1518"/>
            <a:gd name="T80" fmla="*/ 1490 w 1802"/>
            <a:gd name="T81" fmla="*/ 948 h 1518"/>
            <a:gd name="T82" fmla="*/ 1510 w 1802"/>
            <a:gd name="T83" fmla="*/ 958 h 1518"/>
            <a:gd name="T84" fmla="*/ 1523 w 1802"/>
            <a:gd name="T85" fmla="*/ 953 h 1518"/>
            <a:gd name="T86" fmla="*/ 1529 w 1802"/>
            <a:gd name="T87" fmla="*/ 920 h 1518"/>
            <a:gd name="T88" fmla="*/ 1499 w 1802"/>
            <a:gd name="T89" fmla="*/ 877 h 1518"/>
            <a:gd name="T90" fmla="*/ 1517 w 1802"/>
            <a:gd name="T91" fmla="*/ 874 h 1518"/>
            <a:gd name="T92" fmla="*/ 1540 w 1802"/>
            <a:gd name="T93" fmla="*/ 872 h 1518"/>
            <a:gd name="T94" fmla="*/ 1653 w 1802"/>
            <a:gd name="T95" fmla="*/ 950 h 1518"/>
            <a:gd name="T96" fmla="*/ 1802 w 1802"/>
            <a:gd name="T97" fmla="*/ 1279 h 1518"/>
            <a:gd name="T98" fmla="*/ 1467 w 1802"/>
            <a:gd name="T99" fmla="*/ 1518 h 1518"/>
            <a:gd name="T100" fmla="*/ 1079 w 1802"/>
            <a:gd name="T101" fmla="*/ 1323 h 1518"/>
            <a:gd name="T102" fmla="*/ 1011 w 1802"/>
            <a:gd name="T103" fmla="*/ 1237 h 1518"/>
            <a:gd name="T104" fmla="*/ 1090 w 1802"/>
            <a:gd name="T105" fmla="*/ 1188 h 1518"/>
            <a:gd name="T106" fmla="*/ 1096 w 1802"/>
            <a:gd name="T107" fmla="*/ 1188 h 1518"/>
            <a:gd name="T108" fmla="*/ 1188 w 1802"/>
            <a:gd name="T109" fmla="*/ 1205 h 1518"/>
            <a:gd name="T110" fmla="*/ 955 w 1802"/>
            <a:gd name="T111" fmla="*/ 877 h 1518"/>
            <a:gd name="T112" fmla="*/ 970 w 1802"/>
            <a:gd name="T113" fmla="*/ 786 h 1518"/>
            <a:gd name="T114" fmla="*/ 1007 w 1802"/>
            <a:gd name="T115" fmla="*/ 774 h 15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802" h="1518">
              <a:moveTo>
                <a:pt x="926" y="1214"/>
              </a:moveTo>
              <a:cubicBezTo>
                <a:pt x="927" y="1212"/>
                <a:pt x="927" y="1211"/>
                <a:pt x="928" y="1210"/>
              </a:cubicBezTo>
              <a:cubicBezTo>
                <a:pt x="196" y="1210"/>
                <a:pt x="196" y="1210"/>
                <a:pt x="196" y="1210"/>
              </a:cubicBezTo>
              <a:cubicBezTo>
                <a:pt x="196" y="175"/>
                <a:pt x="196" y="175"/>
                <a:pt x="196" y="175"/>
              </a:cubicBezTo>
              <a:cubicBezTo>
                <a:pt x="1604" y="175"/>
                <a:pt x="1604" y="175"/>
                <a:pt x="1604" y="175"/>
              </a:cubicBezTo>
              <a:cubicBezTo>
                <a:pt x="1604" y="796"/>
                <a:pt x="1604" y="796"/>
                <a:pt x="1604" y="796"/>
              </a:cubicBezTo>
              <a:cubicBezTo>
                <a:pt x="1700" y="831"/>
                <a:pt x="1769" y="958"/>
                <a:pt x="1801" y="1056"/>
              </a:cubicBezTo>
              <a:cubicBezTo>
                <a:pt x="1801" y="140"/>
                <a:pt x="1801" y="140"/>
                <a:pt x="1801" y="140"/>
              </a:cubicBezTo>
              <a:cubicBezTo>
                <a:pt x="1801" y="62"/>
                <a:pt x="1738" y="0"/>
                <a:pt x="1661" y="0"/>
              </a:cubicBezTo>
              <a:cubicBezTo>
                <a:pt x="140" y="0"/>
                <a:pt x="140" y="0"/>
                <a:pt x="140" y="0"/>
              </a:cubicBezTo>
              <a:cubicBezTo>
                <a:pt x="62" y="0"/>
                <a:pt x="0" y="62"/>
                <a:pt x="0" y="140"/>
              </a:cubicBezTo>
              <a:cubicBezTo>
                <a:pt x="0" y="1245"/>
                <a:pt x="0" y="1245"/>
                <a:pt x="0" y="1245"/>
              </a:cubicBezTo>
              <a:cubicBezTo>
                <a:pt x="0" y="1322"/>
                <a:pt x="62" y="1385"/>
                <a:pt x="140" y="1385"/>
              </a:cubicBezTo>
              <a:cubicBezTo>
                <a:pt x="1004" y="1385"/>
                <a:pt x="1004" y="1385"/>
                <a:pt x="1004" y="1385"/>
              </a:cubicBezTo>
              <a:cubicBezTo>
                <a:pt x="930" y="1341"/>
                <a:pt x="911" y="1271"/>
                <a:pt x="926" y="1214"/>
              </a:cubicBezTo>
              <a:close/>
              <a:moveTo>
                <a:pt x="955" y="653"/>
              </a:moveTo>
              <a:cubicBezTo>
                <a:pt x="1003" y="653"/>
                <a:pt x="1049" y="683"/>
                <a:pt x="1064" y="734"/>
              </a:cubicBezTo>
              <a:cubicBezTo>
                <a:pt x="1045" y="719"/>
                <a:pt x="1022" y="712"/>
                <a:pt x="999" y="712"/>
              </a:cubicBezTo>
              <a:cubicBezTo>
                <a:pt x="976" y="712"/>
                <a:pt x="952" y="719"/>
                <a:pt x="932" y="734"/>
              </a:cubicBezTo>
              <a:cubicBezTo>
                <a:pt x="891" y="763"/>
                <a:pt x="873" y="812"/>
                <a:pt x="889" y="859"/>
              </a:cubicBezTo>
              <a:cubicBezTo>
                <a:pt x="826" y="814"/>
                <a:pt x="826" y="719"/>
                <a:pt x="889" y="674"/>
              </a:cubicBezTo>
              <a:cubicBezTo>
                <a:pt x="909" y="659"/>
                <a:pt x="932" y="653"/>
                <a:pt x="955" y="653"/>
              </a:cubicBezTo>
              <a:moveTo>
                <a:pt x="1007" y="774"/>
              </a:moveTo>
              <a:cubicBezTo>
                <a:pt x="1028" y="774"/>
                <a:pt x="1048" y="784"/>
                <a:pt x="1060" y="802"/>
              </a:cubicBezTo>
              <a:cubicBezTo>
                <a:pt x="1219" y="1024"/>
                <a:pt x="1219" y="1024"/>
                <a:pt x="1219" y="1024"/>
              </a:cubicBezTo>
              <a:cubicBezTo>
                <a:pt x="1224" y="1030"/>
                <a:pt x="1231" y="1034"/>
                <a:pt x="1238" y="1034"/>
              </a:cubicBezTo>
              <a:cubicBezTo>
                <a:pt x="1243" y="1034"/>
                <a:pt x="1248" y="1032"/>
                <a:pt x="1252" y="1029"/>
              </a:cubicBezTo>
              <a:cubicBezTo>
                <a:pt x="1263" y="1021"/>
                <a:pt x="1265" y="1007"/>
                <a:pt x="1258" y="996"/>
              </a:cubicBezTo>
              <a:cubicBezTo>
                <a:pt x="1219" y="941"/>
                <a:pt x="1219" y="941"/>
                <a:pt x="1219" y="941"/>
              </a:cubicBezTo>
              <a:cubicBezTo>
                <a:pt x="1236" y="937"/>
                <a:pt x="1258" y="931"/>
                <a:pt x="1281" y="925"/>
              </a:cubicBezTo>
              <a:cubicBezTo>
                <a:pt x="1285" y="925"/>
                <a:pt x="1288" y="924"/>
                <a:pt x="1291" y="924"/>
              </a:cubicBezTo>
              <a:cubicBezTo>
                <a:pt x="1304" y="924"/>
                <a:pt x="1317" y="931"/>
                <a:pt x="1325" y="942"/>
              </a:cubicBezTo>
              <a:cubicBezTo>
                <a:pt x="1357" y="986"/>
                <a:pt x="1357" y="986"/>
                <a:pt x="1357" y="986"/>
              </a:cubicBezTo>
              <a:cubicBezTo>
                <a:pt x="1362" y="993"/>
                <a:pt x="1369" y="996"/>
                <a:pt x="1376" y="996"/>
              </a:cubicBezTo>
              <a:cubicBezTo>
                <a:pt x="1381" y="996"/>
                <a:pt x="1386" y="995"/>
                <a:pt x="1390" y="992"/>
              </a:cubicBezTo>
              <a:cubicBezTo>
                <a:pt x="1401" y="984"/>
                <a:pt x="1403" y="969"/>
                <a:pt x="1396" y="959"/>
              </a:cubicBezTo>
              <a:cubicBezTo>
                <a:pt x="1359" y="907"/>
                <a:pt x="1359" y="907"/>
                <a:pt x="1359" y="907"/>
              </a:cubicBezTo>
              <a:cubicBezTo>
                <a:pt x="1379" y="902"/>
                <a:pt x="1400" y="898"/>
                <a:pt x="1421" y="893"/>
              </a:cubicBezTo>
              <a:cubicBezTo>
                <a:pt x="1423" y="893"/>
                <a:pt x="1426" y="892"/>
                <a:pt x="1429" y="892"/>
              </a:cubicBezTo>
              <a:cubicBezTo>
                <a:pt x="1443" y="892"/>
                <a:pt x="1455" y="899"/>
                <a:pt x="1463" y="910"/>
              </a:cubicBezTo>
              <a:cubicBezTo>
                <a:pt x="1490" y="948"/>
                <a:pt x="1490" y="948"/>
                <a:pt x="1490" y="948"/>
              </a:cubicBezTo>
              <a:cubicBezTo>
                <a:pt x="1495" y="954"/>
                <a:pt x="1502" y="958"/>
                <a:pt x="1510" y="958"/>
              </a:cubicBezTo>
              <a:cubicBezTo>
                <a:pt x="1514" y="958"/>
                <a:pt x="1519" y="956"/>
                <a:pt x="1523" y="953"/>
              </a:cubicBezTo>
              <a:cubicBezTo>
                <a:pt x="1534" y="946"/>
                <a:pt x="1537" y="931"/>
                <a:pt x="1529" y="920"/>
              </a:cubicBezTo>
              <a:cubicBezTo>
                <a:pt x="1499" y="877"/>
                <a:pt x="1499" y="877"/>
                <a:pt x="1499" y="877"/>
              </a:cubicBezTo>
              <a:cubicBezTo>
                <a:pt x="1505" y="876"/>
                <a:pt x="1511" y="875"/>
                <a:pt x="1517" y="874"/>
              </a:cubicBezTo>
              <a:cubicBezTo>
                <a:pt x="1525" y="873"/>
                <a:pt x="1533" y="872"/>
                <a:pt x="1540" y="872"/>
              </a:cubicBezTo>
              <a:cubicBezTo>
                <a:pt x="1589" y="872"/>
                <a:pt x="1619" y="903"/>
                <a:pt x="1653" y="950"/>
              </a:cubicBezTo>
              <a:cubicBezTo>
                <a:pt x="1739" y="1071"/>
                <a:pt x="1715" y="1157"/>
                <a:pt x="1802" y="1279"/>
              </a:cubicBezTo>
              <a:cubicBezTo>
                <a:pt x="1693" y="1357"/>
                <a:pt x="1582" y="1436"/>
                <a:pt x="1467" y="1518"/>
              </a:cubicBezTo>
              <a:cubicBezTo>
                <a:pt x="1286" y="1383"/>
                <a:pt x="1130" y="1340"/>
                <a:pt x="1079" y="1323"/>
              </a:cubicBezTo>
              <a:cubicBezTo>
                <a:pt x="1031" y="1307"/>
                <a:pt x="1000" y="1276"/>
                <a:pt x="1011" y="1237"/>
              </a:cubicBezTo>
              <a:cubicBezTo>
                <a:pt x="1021" y="1200"/>
                <a:pt x="1058" y="1188"/>
                <a:pt x="1090" y="1188"/>
              </a:cubicBezTo>
              <a:cubicBezTo>
                <a:pt x="1092" y="1188"/>
                <a:pt x="1094" y="1188"/>
                <a:pt x="1096" y="1188"/>
              </a:cubicBezTo>
              <a:cubicBezTo>
                <a:pt x="1147" y="1190"/>
                <a:pt x="1188" y="1205"/>
                <a:pt x="1188" y="1205"/>
              </a:cubicBezTo>
              <a:cubicBezTo>
                <a:pt x="955" y="877"/>
                <a:pt x="955" y="877"/>
                <a:pt x="955" y="877"/>
              </a:cubicBezTo>
              <a:cubicBezTo>
                <a:pt x="934" y="848"/>
                <a:pt x="940" y="807"/>
                <a:pt x="970" y="786"/>
              </a:cubicBezTo>
              <a:cubicBezTo>
                <a:pt x="981" y="778"/>
                <a:pt x="994" y="774"/>
                <a:pt x="1007" y="774"/>
              </a:cubicBezTo>
            </a:path>
          </a:pathLst>
        </a:custGeom>
        <a:solidFill>
          <a:srgbClr val="D4051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>
            <a:solidFill>
              <a:srgbClr val="000000"/>
            </a:solidFill>
          </a:endParaRPr>
        </a:p>
      </xdr:txBody>
    </xdr:sp>
    <xdr:clientData/>
  </xdr:twoCellAnchor>
  <xdr:twoCellAnchor editAs="oneCell">
    <xdr:from>
      <xdr:col>5</xdr:col>
      <xdr:colOff>746046</xdr:colOff>
      <xdr:row>12</xdr:row>
      <xdr:rowOff>2727937</xdr:rowOff>
    </xdr:from>
    <xdr:to>
      <xdr:col>6</xdr:col>
      <xdr:colOff>284082</xdr:colOff>
      <xdr:row>12</xdr:row>
      <xdr:rowOff>2963550</xdr:rowOff>
    </xdr:to>
    <xdr:pic>
      <xdr:nvPicPr>
        <xdr:cNvPr id="42" name="Picture 41" descr="Resultado de imagen de iso 14001">
          <a:extLst>
            <a:ext uri="{FF2B5EF4-FFF2-40B4-BE49-F238E27FC236}">
              <a16:creationId xmlns:a16="http://schemas.microsoft.com/office/drawing/2014/main" id="{679EA69F-FE6A-48D5-9992-063072D570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0271" y="10071712"/>
          <a:ext cx="300036" cy="235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735643</xdr:colOff>
      <xdr:row>12</xdr:row>
      <xdr:rowOff>1616999</xdr:rowOff>
    </xdr:from>
    <xdr:to>
      <xdr:col>6</xdr:col>
      <xdr:colOff>228193</xdr:colOff>
      <xdr:row>12</xdr:row>
      <xdr:rowOff>1820141</xdr:rowOff>
    </xdr:to>
    <xdr:sp macro="" textlink="">
      <xdr:nvSpPr>
        <xdr:cNvPr id="43" name="Freeform 43">
          <a:extLst>
            <a:ext uri="{FF2B5EF4-FFF2-40B4-BE49-F238E27FC236}">
              <a16:creationId xmlns:a16="http://schemas.microsoft.com/office/drawing/2014/main" id="{AE3F0A1B-4E36-462F-83F4-20A16D1DC617}"/>
            </a:ext>
          </a:extLst>
        </xdr:cNvPr>
        <xdr:cNvSpPr>
          <a:spLocks noEditPoints="1"/>
        </xdr:cNvSpPr>
      </xdr:nvSpPr>
      <xdr:spPr bwMode="auto">
        <a:xfrm>
          <a:off x="4059868" y="8960774"/>
          <a:ext cx="254550" cy="203142"/>
        </a:xfrm>
        <a:custGeom>
          <a:avLst/>
          <a:gdLst>
            <a:gd name="T0" fmla="*/ 109 w 260"/>
            <a:gd name="T1" fmla="*/ 137 h 300"/>
            <a:gd name="T2" fmla="*/ 10 w 260"/>
            <a:gd name="T3" fmla="*/ 45 h 300"/>
            <a:gd name="T4" fmla="*/ 145 w 260"/>
            <a:gd name="T5" fmla="*/ 0 h 300"/>
            <a:gd name="T6" fmla="*/ 145 w 260"/>
            <a:gd name="T7" fmla="*/ 127 h 300"/>
            <a:gd name="T8" fmla="*/ 109 w 260"/>
            <a:gd name="T9" fmla="*/ 137 h 300"/>
            <a:gd name="T10" fmla="*/ 109 w 260"/>
            <a:gd name="T11" fmla="*/ 137 h 300"/>
            <a:gd name="T12" fmla="*/ 109 w 260"/>
            <a:gd name="T13" fmla="*/ 137 h 300"/>
            <a:gd name="T14" fmla="*/ 109 w 260"/>
            <a:gd name="T15" fmla="*/ 137 h 300"/>
            <a:gd name="T16" fmla="*/ 156 w 260"/>
            <a:gd name="T17" fmla="*/ 123 h 300"/>
            <a:gd name="T18" fmla="*/ 156 w 260"/>
            <a:gd name="T19" fmla="*/ 2 h 300"/>
            <a:gd name="T20" fmla="*/ 256 w 260"/>
            <a:gd name="T21" fmla="*/ 90 h 300"/>
            <a:gd name="T22" fmla="*/ 156 w 260"/>
            <a:gd name="T23" fmla="*/ 123 h 300"/>
            <a:gd name="T24" fmla="*/ 156 w 260"/>
            <a:gd name="T25" fmla="*/ 123 h 300"/>
            <a:gd name="T26" fmla="*/ 156 w 260"/>
            <a:gd name="T27" fmla="*/ 123 h 300"/>
            <a:gd name="T28" fmla="*/ 156 w 260"/>
            <a:gd name="T29" fmla="*/ 123 h 300"/>
            <a:gd name="T30" fmla="*/ 0 w 260"/>
            <a:gd name="T31" fmla="*/ 201 h 300"/>
            <a:gd name="T32" fmla="*/ 0 w 260"/>
            <a:gd name="T33" fmla="*/ 52 h 300"/>
            <a:gd name="T34" fmla="*/ 100 w 260"/>
            <a:gd name="T35" fmla="*/ 146 h 300"/>
            <a:gd name="T36" fmla="*/ 100 w 260"/>
            <a:gd name="T37" fmla="*/ 297 h 300"/>
            <a:gd name="T38" fmla="*/ 0 w 260"/>
            <a:gd name="T39" fmla="*/ 201 h 300"/>
            <a:gd name="T40" fmla="*/ 0 w 260"/>
            <a:gd name="T41" fmla="*/ 201 h 300"/>
            <a:gd name="T42" fmla="*/ 0 w 260"/>
            <a:gd name="T43" fmla="*/ 201 h 300"/>
            <a:gd name="T44" fmla="*/ 0 w 260"/>
            <a:gd name="T45" fmla="*/ 201 h 300"/>
            <a:gd name="T46" fmla="*/ 114 w 260"/>
            <a:gd name="T47" fmla="*/ 151 h 300"/>
            <a:gd name="T48" fmla="*/ 260 w 260"/>
            <a:gd name="T49" fmla="*/ 99 h 300"/>
            <a:gd name="T50" fmla="*/ 260 w 260"/>
            <a:gd name="T51" fmla="*/ 250 h 300"/>
            <a:gd name="T52" fmla="*/ 114 w 260"/>
            <a:gd name="T53" fmla="*/ 300 h 300"/>
            <a:gd name="T54" fmla="*/ 114 w 260"/>
            <a:gd name="T55" fmla="*/ 151 h 300"/>
            <a:gd name="T56" fmla="*/ 114 w 260"/>
            <a:gd name="T57" fmla="*/ 151 h 300"/>
            <a:gd name="T58" fmla="*/ 114 w 260"/>
            <a:gd name="T59" fmla="*/ 151 h 300"/>
            <a:gd name="T60" fmla="*/ 114 w 260"/>
            <a:gd name="T61" fmla="*/ 151 h 3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</a:cxnLst>
          <a:rect l="0" t="0" r="r" b="b"/>
          <a:pathLst>
            <a:path w="260" h="300">
              <a:moveTo>
                <a:pt x="109" y="137"/>
              </a:moveTo>
              <a:lnTo>
                <a:pt x="10" y="45"/>
              </a:lnTo>
              <a:lnTo>
                <a:pt x="145" y="0"/>
              </a:lnTo>
              <a:lnTo>
                <a:pt x="145" y="127"/>
              </a:lnTo>
              <a:lnTo>
                <a:pt x="109" y="137"/>
              </a:lnTo>
              <a:lnTo>
                <a:pt x="109" y="137"/>
              </a:lnTo>
              <a:lnTo>
                <a:pt x="109" y="137"/>
              </a:lnTo>
              <a:lnTo>
                <a:pt x="109" y="137"/>
              </a:lnTo>
              <a:close/>
              <a:moveTo>
                <a:pt x="156" y="123"/>
              </a:moveTo>
              <a:lnTo>
                <a:pt x="156" y="2"/>
              </a:lnTo>
              <a:lnTo>
                <a:pt x="256" y="90"/>
              </a:lnTo>
              <a:lnTo>
                <a:pt x="156" y="123"/>
              </a:lnTo>
              <a:lnTo>
                <a:pt x="156" y="123"/>
              </a:lnTo>
              <a:lnTo>
                <a:pt x="156" y="123"/>
              </a:lnTo>
              <a:lnTo>
                <a:pt x="156" y="123"/>
              </a:lnTo>
              <a:close/>
              <a:moveTo>
                <a:pt x="0" y="201"/>
              </a:moveTo>
              <a:lnTo>
                <a:pt x="0" y="52"/>
              </a:lnTo>
              <a:lnTo>
                <a:pt x="100" y="146"/>
              </a:lnTo>
              <a:lnTo>
                <a:pt x="100" y="297"/>
              </a:lnTo>
              <a:lnTo>
                <a:pt x="0" y="201"/>
              </a:lnTo>
              <a:lnTo>
                <a:pt x="0" y="201"/>
              </a:lnTo>
              <a:lnTo>
                <a:pt x="0" y="201"/>
              </a:lnTo>
              <a:lnTo>
                <a:pt x="0" y="201"/>
              </a:lnTo>
              <a:close/>
              <a:moveTo>
                <a:pt x="114" y="151"/>
              </a:moveTo>
              <a:lnTo>
                <a:pt x="260" y="99"/>
              </a:lnTo>
              <a:lnTo>
                <a:pt x="260" y="250"/>
              </a:lnTo>
              <a:lnTo>
                <a:pt x="114" y="300"/>
              </a:lnTo>
              <a:lnTo>
                <a:pt x="114" y="151"/>
              </a:lnTo>
              <a:lnTo>
                <a:pt x="114" y="151"/>
              </a:lnTo>
              <a:lnTo>
                <a:pt x="114" y="151"/>
              </a:lnTo>
              <a:lnTo>
                <a:pt x="114" y="151"/>
              </a:lnTo>
              <a:close/>
            </a:path>
          </a:pathLst>
        </a:custGeom>
        <a:solidFill>
          <a:srgbClr val="D4051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de-DE"/>
        </a:p>
      </xdr:txBody>
    </xdr:sp>
    <xdr:clientData/>
  </xdr:twoCellAnchor>
  <xdr:twoCellAnchor>
    <xdr:from>
      <xdr:col>0</xdr:col>
      <xdr:colOff>0</xdr:colOff>
      <xdr:row>33</xdr:row>
      <xdr:rowOff>110715</xdr:rowOff>
    </xdr:from>
    <xdr:to>
      <xdr:col>12</xdr:col>
      <xdr:colOff>0</xdr:colOff>
      <xdr:row>36</xdr:row>
      <xdr:rowOff>151208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3B1DECDC-E9CC-46B6-9DDF-BDDA112F7D4D}"/>
            </a:ext>
          </a:extLst>
        </xdr:cNvPr>
        <xdr:cNvSpPr txBox="1"/>
      </xdr:nvSpPr>
      <xdr:spPr>
        <a:xfrm>
          <a:off x="0" y="17135475"/>
          <a:ext cx="8086725" cy="475058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Consideraciones</a:t>
          </a:r>
          <a:r>
            <a:rPr lang="es-ES" sz="1400" b="1">
              <a:latin typeface="Calibri" panose="020F0502020204030204" pitchFamily="34" charset="0"/>
              <a:cs typeface="Calibri" panose="020F0502020204030204" pitchFamily="34" charset="0"/>
            </a:rPr>
            <a:t> específicas para Portugal </a:t>
          </a:r>
        </a:p>
      </xdr:txBody>
    </xdr:sp>
    <xdr:clientData/>
  </xdr:twoCellAnchor>
  <xdr:twoCellAnchor>
    <xdr:from>
      <xdr:col>0</xdr:col>
      <xdr:colOff>0</xdr:colOff>
      <xdr:row>49</xdr:row>
      <xdr:rowOff>6473</xdr:rowOff>
    </xdr:from>
    <xdr:to>
      <xdr:col>12</xdr:col>
      <xdr:colOff>0</xdr:colOff>
      <xdr:row>52</xdr:row>
      <xdr:rowOff>46966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3DEF1906-9412-4B64-A825-B0B7A5E81404}"/>
            </a:ext>
          </a:extLst>
        </xdr:cNvPr>
        <xdr:cNvSpPr txBox="1"/>
      </xdr:nvSpPr>
      <xdr:spPr>
        <a:xfrm>
          <a:off x="0" y="19570823"/>
          <a:ext cx="8086725" cy="526268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Consideraciones</a:t>
          </a:r>
          <a:r>
            <a:rPr lang="es-ES" sz="1400" b="1">
              <a:latin typeface="Calibri" panose="020F0502020204030204" pitchFamily="34" charset="0"/>
              <a:cs typeface="Calibri" panose="020F0502020204030204" pitchFamily="34" charset="0"/>
            </a:rPr>
            <a:t> específicas para Ceuta, Melilla y Gibraltar</a:t>
          </a:r>
        </a:p>
      </xdr:txBody>
    </xdr:sp>
    <xdr:clientData/>
  </xdr:twoCellAnchor>
  <xdr:twoCellAnchor>
    <xdr:from>
      <xdr:col>0</xdr:col>
      <xdr:colOff>0</xdr:colOff>
      <xdr:row>60</xdr:row>
      <xdr:rowOff>132413</xdr:rowOff>
    </xdr:from>
    <xdr:to>
      <xdr:col>12</xdr:col>
      <xdr:colOff>0</xdr:colOff>
      <xdr:row>64</xdr:row>
      <xdr:rowOff>14156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C8E46ED2-F3CE-4CC8-9732-CB7D16AC1680}"/>
            </a:ext>
          </a:extLst>
        </xdr:cNvPr>
        <xdr:cNvSpPr txBox="1"/>
      </xdr:nvSpPr>
      <xdr:spPr>
        <a:xfrm>
          <a:off x="0" y="21477938"/>
          <a:ext cx="8086725" cy="529443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Consideraciones</a:t>
          </a:r>
          <a:r>
            <a:rPr lang="es-ES" sz="1400" b="1">
              <a:latin typeface="Calibri" panose="020F0502020204030204" pitchFamily="34" charset="0"/>
              <a:cs typeface="Calibri" panose="020F0502020204030204" pitchFamily="34" charset="0"/>
            </a:rPr>
            <a:t> específicas para Canarias, Azores y Madeira</a:t>
          </a:r>
        </a:p>
      </xdr:txBody>
    </xdr:sp>
    <xdr:clientData/>
  </xdr:twoCellAnchor>
  <xdr:twoCellAnchor>
    <xdr:from>
      <xdr:col>8</xdr:col>
      <xdr:colOff>684513</xdr:colOff>
      <xdr:row>6</xdr:row>
      <xdr:rowOff>268009</xdr:rowOff>
    </xdr:from>
    <xdr:to>
      <xdr:col>11</xdr:col>
      <xdr:colOff>70140</xdr:colOff>
      <xdr:row>9</xdr:row>
      <xdr:rowOff>102429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7BFF3B5A-1081-4A36-B1CD-839122405581}"/>
            </a:ext>
          </a:extLst>
        </xdr:cNvPr>
        <xdr:cNvSpPr/>
      </xdr:nvSpPr>
      <xdr:spPr>
        <a:xfrm rot="920876">
          <a:off x="5961363" y="5487709"/>
          <a:ext cx="1433502" cy="1472720"/>
        </a:xfrm>
        <a:prstGeom prst="ellipse">
          <a:avLst/>
        </a:prstGeom>
        <a:solidFill>
          <a:srgbClr val="D4051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683494</xdr:colOff>
      <xdr:row>6</xdr:row>
      <xdr:rowOff>407457</xdr:rowOff>
    </xdr:from>
    <xdr:to>
      <xdr:col>11</xdr:col>
      <xdr:colOff>79087</xdr:colOff>
      <xdr:row>7</xdr:row>
      <xdr:rowOff>1022241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8EAADE46-2123-4430-8EF3-D959B6F24F30}"/>
            </a:ext>
          </a:extLst>
        </xdr:cNvPr>
        <xdr:cNvSpPr txBox="1"/>
      </xdr:nvSpPr>
      <xdr:spPr>
        <a:xfrm rot="514091">
          <a:off x="5960344" y="5627157"/>
          <a:ext cx="1443468" cy="1024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>
              <a:solidFill>
                <a:schemeClr val="bg1"/>
              </a:solidFill>
            </a:rPr>
            <a:t>¡Más</a:t>
          </a:r>
          <a:r>
            <a:rPr lang="es-ES" sz="1200" b="1" baseline="0">
              <a:solidFill>
                <a:schemeClr val="bg1"/>
              </a:solidFill>
            </a:rPr>
            <a:t> de </a:t>
          </a:r>
        </a:p>
        <a:p>
          <a:pPr algn="ctr"/>
          <a:r>
            <a:rPr lang="es-ES" sz="1200" b="1" baseline="0">
              <a:solidFill>
                <a:schemeClr val="bg1"/>
              </a:solidFill>
            </a:rPr>
            <a:t>80 años de </a:t>
          </a:r>
        </a:p>
        <a:p>
          <a:pPr algn="ctr"/>
          <a:r>
            <a:rPr lang="es-ES" sz="1200" b="1" baseline="0">
              <a:solidFill>
                <a:schemeClr val="bg1"/>
              </a:solidFill>
            </a:rPr>
            <a:t>experiencia</a:t>
          </a:r>
        </a:p>
        <a:p>
          <a:pPr algn="ctr"/>
          <a:r>
            <a:rPr lang="es-ES" sz="1200" b="1" baseline="0">
              <a:solidFill>
                <a:schemeClr val="bg1"/>
              </a:solidFill>
            </a:rPr>
            <a:t>en transporte!</a:t>
          </a:r>
          <a:endParaRPr lang="es-E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16810</xdr:colOff>
      <xdr:row>15</xdr:row>
      <xdr:rowOff>72036</xdr:rowOff>
    </xdr:from>
    <xdr:to>
      <xdr:col>8</xdr:col>
      <xdr:colOff>428625</xdr:colOff>
      <xdr:row>16</xdr:row>
      <xdr:rowOff>619124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58DE8E1C-95A2-4031-B19C-7CB21612656A}"/>
            </a:ext>
          </a:extLst>
        </xdr:cNvPr>
        <xdr:cNvSpPr txBox="1"/>
      </xdr:nvSpPr>
      <xdr:spPr>
        <a:xfrm>
          <a:off x="293035" y="12445011"/>
          <a:ext cx="5412440" cy="10423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br>
            <a:rPr lang="es-ES" sz="1100">
              <a:solidFill>
                <a:srgbClr val="D40511"/>
              </a:solidFill>
              <a:latin typeface="+mn-lt"/>
            </a:rPr>
          </a:br>
          <a:r>
            <a:rPr lang="es-ES" sz="2000">
              <a:solidFill>
                <a:srgbClr val="D40511"/>
              </a:solidFill>
              <a:latin typeface="+mn-lt"/>
            </a:rPr>
            <a:t>DHL PARCEL EUROPLUS DOMÉSTICO</a:t>
          </a:r>
        </a:p>
        <a:p>
          <a:r>
            <a:rPr lang="es-ES" sz="2400" b="1">
              <a:solidFill>
                <a:srgbClr val="D40511"/>
              </a:solidFill>
              <a:latin typeface="+mn-lt"/>
            </a:rPr>
            <a:t>CONSIDERACIONES ESPECÍFICAS</a:t>
          </a:r>
        </a:p>
        <a:p>
          <a:endParaRPr lang="es-ES" sz="1100"/>
        </a:p>
      </xdr:txBody>
    </xdr:sp>
    <xdr:clientData/>
  </xdr:twoCellAnchor>
  <xdr:twoCellAnchor editAs="oneCell">
    <xdr:from>
      <xdr:col>0</xdr:col>
      <xdr:colOff>1</xdr:colOff>
      <xdr:row>0</xdr:row>
      <xdr:rowOff>33617</xdr:rowOff>
    </xdr:from>
    <xdr:to>
      <xdr:col>12</xdr:col>
      <xdr:colOff>11206</xdr:colOff>
      <xdr:row>2</xdr:row>
      <xdr:rowOff>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5F20926A-ACDC-4C11-B6C2-13DFF710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33617"/>
          <a:ext cx="8097930" cy="33382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434710</xdr:colOff>
      <xdr:row>2</xdr:row>
      <xdr:rowOff>136712</xdr:rowOff>
    </xdr:from>
    <xdr:to>
      <xdr:col>12</xdr:col>
      <xdr:colOff>693089</xdr:colOff>
      <xdr:row>2</xdr:row>
      <xdr:rowOff>406889</xdr:rowOff>
    </xdr:to>
    <xdr:pic>
      <xdr:nvPicPr>
        <xdr:cNvPr id="2" name="Picture 1" descr="DHL_rgb_BG.png">
          <a:extLst>
            <a:ext uri="{FF2B5EF4-FFF2-40B4-BE49-F238E27FC236}">
              <a16:creationId xmlns:a16="http://schemas.microsoft.com/office/drawing/2014/main" id="{6DA49AFD-6053-4A3F-8478-39B63F0BF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150085" y="136712"/>
          <a:ext cx="1896679" cy="270177"/>
        </a:xfrm>
        <a:prstGeom prst="rect">
          <a:avLst/>
        </a:prstGeom>
      </xdr:spPr>
    </xdr:pic>
    <xdr:clientData/>
  </xdr:twoCellAnchor>
  <xdr:twoCellAnchor editAs="oneCell">
    <xdr:from>
      <xdr:col>19</xdr:col>
      <xdr:colOff>904795</xdr:colOff>
      <xdr:row>28</xdr:row>
      <xdr:rowOff>137037</xdr:rowOff>
    </xdr:from>
    <xdr:to>
      <xdr:col>23</xdr:col>
      <xdr:colOff>1554629</xdr:colOff>
      <xdr:row>73</xdr:row>
      <xdr:rowOff>102072</xdr:rowOff>
    </xdr:to>
    <xdr:pic>
      <xdr:nvPicPr>
        <xdr:cNvPr id="3" name="Picture 2" descr="41">
          <a:extLst>
            <a:ext uri="{FF2B5EF4-FFF2-40B4-BE49-F238E27FC236}">
              <a16:creationId xmlns:a16="http://schemas.microsoft.com/office/drawing/2014/main" id="{4BD9BB46-5B28-4675-9620-693DE17EF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4011"/>
        <a:stretch>
          <a:fillRect/>
        </a:stretch>
      </xdr:blipFill>
      <xdr:spPr>
        <a:xfrm>
          <a:off x="16382920" y="6090162"/>
          <a:ext cx="7126834" cy="923286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21</xdr:row>
      <xdr:rowOff>0</xdr:rowOff>
    </xdr:from>
    <xdr:to>
      <xdr:col>19</xdr:col>
      <xdr:colOff>1206423</xdr:colOff>
      <xdr:row>22</xdr:row>
      <xdr:rowOff>40940</xdr:rowOff>
    </xdr:to>
    <xdr:pic>
      <xdr:nvPicPr>
        <xdr:cNvPr id="4" name="Picture 3" descr="C:\Users\padefran\Desktop\DHL\6. DISEÑO\LOGOS DHL\DHL_rgb_BG.png">
          <a:extLst>
            <a:ext uri="{FF2B5EF4-FFF2-40B4-BE49-F238E27FC236}">
              <a16:creationId xmlns:a16="http://schemas.microsoft.com/office/drawing/2014/main" id="{4BB8AE33-529D-441F-85B6-1608B0FA9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 bwMode="auto">
        <a:xfrm>
          <a:off x="14392275" y="4505325"/>
          <a:ext cx="2292273" cy="32669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2399</xdr:colOff>
      <xdr:row>0</xdr:row>
      <xdr:rowOff>414618</xdr:rowOff>
    </xdr:from>
    <xdr:to>
      <xdr:col>20</xdr:col>
      <xdr:colOff>156880</xdr:colOff>
      <xdr:row>0</xdr:row>
      <xdr:rowOff>655589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9EC172-82B6-4193-BED0-F12FAFA33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9899" y="738468"/>
          <a:ext cx="1678481" cy="240971"/>
        </a:xfrm>
        <a:prstGeom prst="rect">
          <a:avLst/>
        </a:prstGeom>
      </xdr:spPr>
    </xdr:pic>
    <xdr:clientData/>
  </xdr:twoCellAnchor>
  <xdr:twoCellAnchor editAs="oneCell">
    <xdr:from>
      <xdr:col>15</xdr:col>
      <xdr:colOff>630333</xdr:colOff>
      <xdr:row>5</xdr:row>
      <xdr:rowOff>134470</xdr:rowOff>
    </xdr:from>
    <xdr:to>
      <xdr:col>21</xdr:col>
      <xdr:colOff>721683</xdr:colOff>
      <xdr:row>7</xdr:row>
      <xdr:rowOff>119829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44E2B75-5907-464D-A780-FA7D8A809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3783" y="2353795"/>
          <a:ext cx="4301400" cy="594959"/>
        </a:xfrm>
        <a:prstGeom prst="rect">
          <a:avLst/>
        </a:prstGeom>
      </xdr:spPr>
    </xdr:pic>
    <xdr:clientData/>
  </xdr:twoCellAnchor>
  <xdr:twoCellAnchor editAs="oneCell">
    <xdr:from>
      <xdr:col>15</xdr:col>
      <xdr:colOff>614458</xdr:colOff>
      <xdr:row>8</xdr:row>
      <xdr:rowOff>0</xdr:rowOff>
    </xdr:from>
    <xdr:to>
      <xdr:col>21</xdr:col>
      <xdr:colOff>696284</xdr:colOff>
      <xdr:row>43</xdr:row>
      <xdr:rowOff>120916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415D1C0-47A7-4EB8-A69F-3C678B526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77908" y="2990850"/>
          <a:ext cx="4291876" cy="5502541"/>
        </a:xfrm>
        <a:prstGeom prst="rect">
          <a:avLst/>
        </a:prstGeom>
      </xdr:spPr>
    </xdr:pic>
    <xdr:clientData/>
  </xdr:twoCellAnchor>
  <xdr:twoCellAnchor editAs="oneCell">
    <xdr:from>
      <xdr:col>10</xdr:col>
      <xdr:colOff>152680</xdr:colOff>
      <xdr:row>5</xdr:row>
      <xdr:rowOff>78440</xdr:rowOff>
    </xdr:from>
    <xdr:to>
      <xdr:col>15</xdr:col>
      <xdr:colOff>453033</xdr:colOff>
      <xdr:row>32</xdr:row>
      <xdr:rowOff>27454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6BC9D72-4844-427B-95E3-9E337EBCB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20405" y="2297765"/>
          <a:ext cx="4196078" cy="4606739"/>
        </a:xfrm>
        <a:prstGeom prst="rect">
          <a:avLst/>
        </a:prstGeom>
      </xdr:spPr>
    </xdr:pic>
    <xdr:clientData/>
  </xdr:twoCellAnchor>
  <xdr:twoCellAnchor editAs="oneCell">
    <xdr:from>
      <xdr:col>6</xdr:col>
      <xdr:colOff>268941</xdr:colOff>
      <xdr:row>0</xdr:row>
      <xdr:rowOff>425824</xdr:rowOff>
    </xdr:from>
    <xdr:to>
      <xdr:col>9</xdr:col>
      <xdr:colOff>87245</xdr:colOff>
      <xdr:row>0</xdr:row>
      <xdr:rowOff>666795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488F3DD-7509-488A-86F5-8033D8071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2066" y="749674"/>
          <a:ext cx="1675679" cy="2409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347382</xdr:colOff>
      <xdr:row>1</xdr:row>
      <xdr:rowOff>120566</xdr:rowOff>
    </xdr:from>
    <xdr:to>
      <xdr:col>4</xdr:col>
      <xdr:colOff>2263589</xdr:colOff>
      <xdr:row>2</xdr:row>
      <xdr:rowOff>269155</xdr:rowOff>
    </xdr:to>
    <xdr:pic>
      <xdr:nvPicPr>
        <xdr:cNvPr id="2" name="Picture 1" descr="DHL_rgb_BG.png">
          <a:extLst>
            <a:ext uri="{FF2B5EF4-FFF2-40B4-BE49-F238E27FC236}">
              <a16:creationId xmlns:a16="http://schemas.microsoft.com/office/drawing/2014/main" id="{C6B5D3A6-4A95-42EB-B3D2-915250BE3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015132" y="520616"/>
          <a:ext cx="1916207" cy="2724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CC00">
            <a:alpha val="6700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CC00">
            <a:alpha val="67000"/>
          </a:srgb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B0737-31C3-4DBD-9601-247D52EDA3CE}">
  <sheetPr codeName="Sheet63">
    <tabColor rgb="FFFFCC00"/>
    <pageSetUpPr autoPageBreaks="0"/>
  </sheetPr>
  <dimension ref="A1:M80"/>
  <sheetViews>
    <sheetView showGridLines="0" showRowColHeaders="0" zoomScale="85" zoomScaleNormal="85" zoomScaleSheetLayoutView="85" workbookViewId="0">
      <selection activeCell="A8" sqref="A8:L8"/>
    </sheetView>
  </sheetViews>
  <sheetFormatPr defaultColWidth="11.42578125" defaultRowHeight="12.75"/>
  <cols>
    <col min="1" max="1" width="4.140625" style="4" customWidth="1"/>
    <col min="2" max="7" width="11.42578125" style="4" customWidth="1"/>
    <col min="8" max="8" width="6.42578125" style="4" customWidth="1"/>
    <col min="9" max="9" width="11.42578125" style="4" customWidth="1"/>
    <col min="10" max="10" width="5" style="4" customWidth="1"/>
    <col min="11" max="11" width="14.28515625" style="4" customWidth="1"/>
    <col min="12" max="16384" width="11.42578125" style="4"/>
  </cols>
  <sheetData>
    <row r="1" spans="1:12">
      <c r="A1" s="1"/>
      <c r="B1" s="2"/>
      <c r="C1" s="1"/>
      <c r="D1" s="1"/>
      <c r="E1" s="1"/>
      <c r="F1" s="1"/>
      <c r="G1" s="1"/>
      <c r="H1" s="3"/>
      <c r="I1" s="1"/>
      <c r="J1" s="1"/>
      <c r="K1" s="1"/>
    </row>
    <row r="2" spans="1:12" ht="252.75" customHeight="1">
      <c r="A2" s="5"/>
      <c r="B2" s="5"/>
      <c r="C2" s="5"/>
      <c r="D2" s="5"/>
      <c r="E2" s="5"/>
      <c r="F2" s="5"/>
      <c r="G2" s="5"/>
      <c r="H2" s="5"/>
      <c r="I2" s="5"/>
      <c r="J2" s="5"/>
      <c r="K2" s="5"/>
    </row>
    <row r="3" spans="1:12" ht="27" customHeight="1">
      <c r="A3" s="6"/>
      <c r="B3" s="7"/>
      <c r="C3" s="6"/>
      <c r="D3" s="6"/>
      <c r="E3" s="6"/>
      <c r="F3" s="250" t="s">
        <v>192</v>
      </c>
      <c r="G3" s="250"/>
      <c r="H3" s="250"/>
      <c r="I3" s="250"/>
      <c r="J3" s="250"/>
      <c r="K3" s="250"/>
      <c r="L3" s="250"/>
    </row>
    <row r="4" spans="1:12" ht="26.25" customHeight="1">
      <c r="A4" s="6"/>
      <c r="B4" s="8"/>
      <c r="C4" s="6"/>
      <c r="D4" s="6"/>
      <c r="E4" s="6"/>
      <c r="F4" s="250"/>
      <c r="G4" s="250"/>
      <c r="H4" s="250"/>
      <c r="I4" s="250"/>
      <c r="J4" s="250"/>
      <c r="K4" s="250"/>
      <c r="L4" s="250"/>
    </row>
    <row r="6" spans="1:12" ht="79.5" customHeight="1">
      <c r="B6" s="9"/>
      <c r="C6" s="9"/>
      <c r="D6" s="9"/>
      <c r="E6" s="9"/>
      <c r="F6" s="9"/>
      <c r="G6" s="9"/>
    </row>
    <row r="7" spans="1:12" s="10" customFormat="1" ht="32.25" customHeight="1"/>
    <row r="8" spans="1:12" s="11" customFormat="1" ht="84" customHeight="1">
      <c r="A8" s="251"/>
      <c r="B8" s="251"/>
      <c r="C8" s="251"/>
      <c r="D8" s="251"/>
      <c r="E8" s="251"/>
      <c r="F8" s="251"/>
      <c r="G8" s="251"/>
      <c r="H8" s="251"/>
      <c r="I8" s="251"/>
      <c r="J8" s="251"/>
      <c r="K8" s="251"/>
      <c r="L8" s="251"/>
    </row>
    <row r="9" spans="1:12">
      <c r="B9" s="12"/>
      <c r="C9" s="9"/>
      <c r="D9" s="9"/>
      <c r="E9" s="9"/>
      <c r="F9" s="9"/>
      <c r="G9" s="9"/>
    </row>
    <row r="10" spans="1:12">
      <c r="B10" s="12"/>
      <c r="C10" s="9"/>
      <c r="D10" s="9"/>
      <c r="E10" s="9"/>
      <c r="F10" s="9"/>
      <c r="G10" s="9"/>
    </row>
    <row r="11" spans="1:12">
      <c r="B11" s="12"/>
      <c r="C11" s="9"/>
      <c r="D11" s="9"/>
      <c r="E11" s="9"/>
      <c r="F11" s="9"/>
      <c r="G11" s="9"/>
    </row>
    <row r="12" spans="1:12">
      <c r="B12" s="12"/>
      <c r="C12" s="9"/>
      <c r="D12" s="9"/>
      <c r="E12" s="9"/>
      <c r="F12" s="9"/>
      <c r="G12" s="9"/>
    </row>
    <row r="13" spans="1:12" ht="363" customHeight="1">
      <c r="B13" s="13" t="s">
        <v>0</v>
      </c>
      <c r="D13" s="9"/>
      <c r="E13" s="9"/>
      <c r="F13" s="9"/>
      <c r="G13" s="14"/>
    </row>
    <row r="14" spans="1:12" ht="20.100000000000001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ht="13.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6"/>
      <c r="L15" s="15"/>
    </row>
    <row r="16" spans="1:12" s="10" customFormat="1" ht="39" customHeight="1"/>
    <row r="17" spans="1:13" s="11" customFormat="1" ht="90" customHeight="1">
      <c r="A17" s="17"/>
    </row>
    <row r="18" spans="1:13" ht="18" customHeight="1">
      <c r="A18" s="17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</row>
    <row r="19" spans="1:13" ht="17.25" customHeight="1">
      <c r="B19" s="252" t="s">
        <v>1</v>
      </c>
      <c r="C19" s="252"/>
      <c r="D19" s="252"/>
      <c r="E19" s="19"/>
      <c r="F19" s="19" t="s">
        <v>2</v>
      </c>
      <c r="G19" s="19"/>
      <c r="H19" s="19"/>
      <c r="I19" s="19"/>
      <c r="J19" s="19"/>
      <c r="K19" s="19"/>
      <c r="L19" s="19"/>
    </row>
    <row r="20" spans="1:13">
      <c r="B20" s="253"/>
      <c r="C20" s="253"/>
      <c r="D20" s="253"/>
      <c r="E20" s="19"/>
      <c r="F20" s="19" t="s">
        <v>3</v>
      </c>
      <c r="G20" s="19"/>
      <c r="H20" s="19"/>
      <c r="I20" s="19"/>
      <c r="J20" s="19"/>
      <c r="K20" s="19"/>
      <c r="L20" s="19"/>
    </row>
    <row r="21" spans="1:13" ht="18" customHeight="1">
      <c r="B21" s="254"/>
      <c r="C21" s="254"/>
      <c r="D21" s="254"/>
      <c r="E21" s="20"/>
      <c r="F21" s="20" t="s">
        <v>4</v>
      </c>
      <c r="G21" s="20"/>
      <c r="H21" s="20"/>
      <c r="I21" s="20"/>
      <c r="J21" s="20"/>
      <c r="K21" s="20"/>
      <c r="L21" s="20"/>
    </row>
    <row r="22" spans="1:13" ht="18.75" customHeight="1">
      <c r="B22" s="252" t="s">
        <v>5</v>
      </c>
      <c r="C22" s="252"/>
      <c r="D22" s="252"/>
      <c r="E22" s="19"/>
      <c r="F22" s="19" t="s">
        <v>6</v>
      </c>
      <c r="G22" s="19"/>
      <c r="H22" s="19"/>
      <c r="I22" s="19"/>
      <c r="J22" s="19"/>
      <c r="K22" s="19"/>
      <c r="L22" s="19"/>
    </row>
    <row r="23" spans="1:13" ht="15">
      <c r="B23" s="253"/>
      <c r="C23" s="253"/>
      <c r="D23" s="253"/>
      <c r="E23" s="19"/>
      <c r="F23" s="19" t="s">
        <v>7</v>
      </c>
      <c r="G23" s="19"/>
      <c r="H23" s="19"/>
      <c r="I23" s="19"/>
      <c r="J23" s="19"/>
      <c r="K23" s="19"/>
      <c r="L23" s="19"/>
    </row>
    <row r="24" spans="1:13" ht="19.5" customHeight="1">
      <c r="B24" s="254"/>
      <c r="C24" s="254"/>
      <c r="D24" s="254"/>
      <c r="E24" s="20"/>
      <c r="F24" s="20" t="s">
        <v>8</v>
      </c>
      <c r="G24" s="20"/>
      <c r="H24" s="20"/>
      <c r="I24" s="20"/>
      <c r="J24" s="20"/>
      <c r="K24" s="20"/>
      <c r="L24" s="20"/>
    </row>
    <row r="25" spans="1:13" ht="21" customHeight="1">
      <c r="B25" s="252" t="s">
        <v>9</v>
      </c>
      <c r="C25" s="252"/>
      <c r="D25" s="252"/>
      <c r="E25" s="19"/>
      <c r="F25" s="19" t="s">
        <v>10</v>
      </c>
      <c r="G25" s="19"/>
      <c r="H25" s="19"/>
      <c r="I25" s="19"/>
      <c r="J25" s="19"/>
      <c r="K25" s="19"/>
      <c r="L25" s="19"/>
    </row>
    <row r="26" spans="1:13" ht="13.5" customHeight="1">
      <c r="B26" s="254"/>
      <c r="C26" s="254"/>
      <c r="D26" s="254"/>
      <c r="E26" s="20"/>
      <c r="F26" s="20" t="s">
        <v>11</v>
      </c>
      <c r="G26" s="20"/>
      <c r="H26" s="20"/>
      <c r="I26" s="20"/>
      <c r="J26" s="20"/>
      <c r="K26" s="20"/>
      <c r="L26" s="20"/>
    </row>
    <row r="27" spans="1:13">
      <c r="B27" s="252" t="s">
        <v>12</v>
      </c>
      <c r="C27" s="252"/>
      <c r="D27" s="252"/>
      <c r="E27" s="19"/>
      <c r="F27" s="255" t="s">
        <v>13</v>
      </c>
      <c r="G27" s="255"/>
      <c r="H27" s="255"/>
      <c r="I27" s="255"/>
      <c r="J27" s="255"/>
      <c r="K27" s="255"/>
      <c r="L27" s="255"/>
    </row>
    <row r="28" spans="1:13" ht="23.25" customHeight="1">
      <c r="B28" s="254"/>
      <c r="C28" s="254"/>
      <c r="D28" s="254"/>
      <c r="E28" s="20"/>
      <c r="F28" s="256"/>
      <c r="G28" s="256"/>
      <c r="H28" s="256"/>
      <c r="I28" s="256"/>
      <c r="J28" s="256"/>
      <c r="K28" s="256"/>
      <c r="L28" s="256"/>
    </row>
    <row r="29" spans="1:13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</row>
    <row r="30" spans="1:13">
      <c r="A30" s="21"/>
      <c r="B30" s="22" t="s">
        <v>14</v>
      </c>
      <c r="C30" s="23"/>
      <c r="D30" s="24"/>
      <c r="E30" s="24"/>
      <c r="F30" s="24"/>
      <c r="G30" s="24"/>
      <c r="H30" s="24"/>
      <c r="I30" s="24"/>
      <c r="J30" s="25"/>
      <c r="K30" s="25"/>
      <c r="L30" s="25"/>
      <c r="M30" s="26"/>
    </row>
    <row r="31" spans="1:13" ht="20.25" customHeight="1">
      <c r="A31" s="21"/>
      <c r="B31" s="22" t="s">
        <v>15</v>
      </c>
      <c r="C31" s="23"/>
      <c r="D31" s="24"/>
      <c r="E31" s="24"/>
      <c r="F31" s="24"/>
      <c r="G31" s="24"/>
      <c r="H31" s="24"/>
      <c r="I31" s="24"/>
      <c r="J31" s="25"/>
      <c r="K31" s="25"/>
      <c r="L31" s="25"/>
      <c r="M31" s="26"/>
    </row>
    <row r="32" spans="1:13" ht="10.5" customHeight="1"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</row>
    <row r="33" spans="2:12" ht="8.25" hidden="1" customHeight="1"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</row>
    <row r="34" spans="2:12" hidden="1"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</row>
    <row r="35" spans="2:12"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</row>
    <row r="36" spans="2:12"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</row>
    <row r="37" spans="2:1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</row>
    <row r="38" spans="2:1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</row>
    <row r="39" spans="2:12"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</row>
    <row r="40" spans="2:12"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</row>
    <row r="41" spans="2:12"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</row>
    <row r="42" spans="2:12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</row>
    <row r="43" spans="2:1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</row>
    <row r="44" spans="2:12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</row>
    <row r="45" spans="2:12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</row>
    <row r="46" spans="2:12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</row>
    <row r="47" spans="2:1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</row>
    <row r="48" spans="2:1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</row>
    <row r="49" spans="2:1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</row>
    <row r="50" spans="2:1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</row>
    <row r="51" spans="2:1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</row>
    <row r="52" spans="2:1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</row>
    <row r="53" spans="2:1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</row>
    <row r="54" spans="2:1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</row>
    <row r="55" spans="2:12"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</row>
    <row r="56" spans="2:12"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</row>
    <row r="57" spans="2:12"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</row>
    <row r="58" spans="2:12"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</row>
    <row r="59" spans="2:12"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</row>
    <row r="60" spans="2:12"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</row>
    <row r="61" spans="2:12"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</row>
    <row r="62" spans="2:12"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</row>
    <row r="63" spans="2:12"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</row>
    <row r="64" spans="2:12"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</row>
    <row r="65" spans="1:12"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</row>
    <row r="66" spans="1:12"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</row>
    <row r="67" spans="1:12"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</row>
    <row r="68" spans="1:12"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</row>
    <row r="69" spans="1:12"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</row>
    <row r="70" spans="1:12"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</row>
    <row r="71" spans="1:12" ht="18.75">
      <c r="B71" s="21"/>
      <c r="C71" s="21"/>
      <c r="D71" s="21"/>
      <c r="E71" s="27"/>
      <c r="F71" s="27"/>
      <c r="G71" s="21"/>
      <c r="H71" s="21"/>
      <c r="I71" s="21"/>
      <c r="J71" s="21"/>
      <c r="K71" s="21"/>
      <c r="L71" s="21"/>
    </row>
    <row r="72" spans="1:12"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</row>
    <row r="73" spans="1:12"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</row>
    <row r="74" spans="1:12"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</row>
    <row r="75" spans="1:12"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</row>
    <row r="76" spans="1:12"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</row>
    <row r="77" spans="1:12"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</row>
    <row r="78" spans="1:12"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</row>
    <row r="79" spans="1:12" ht="15.75" customHeight="1">
      <c r="A79" s="6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</row>
    <row r="80" spans="1:12" ht="21.75" customHeight="1">
      <c r="A80" s="15"/>
      <c r="B80" s="29"/>
      <c r="C80" s="29"/>
      <c r="D80" s="29"/>
      <c r="E80" s="29"/>
      <c r="F80" s="29"/>
      <c r="G80" s="29"/>
      <c r="H80" s="29"/>
      <c r="I80" s="29"/>
      <c r="J80" s="29"/>
      <c r="K80" s="30"/>
      <c r="L80" s="29"/>
    </row>
  </sheetData>
  <sheetProtection algorithmName="SHA-512" hashValue="ioLftA6Pat4o5OoPrqhIyeAnwWIA+BcIOGb0CK2rH22GVXvccNK1cLxjrQeofbkEabve6YG22pmEEs414UnJhA==" saltValue="T2A8cTIVeJdjSsNzVBD63w==" spinCount="100000" sheet="1" objects="1" scenarios="1"/>
  <mergeCells count="7">
    <mergeCell ref="B27:D28"/>
    <mergeCell ref="F27:L28"/>
    <mergeCell ref="F3:L4"/>
    <mergeCell ref="A8:L8"/>
    <mergeCell ref="B19:D21"/>
    <mergeCell ref="B22:D24"/>
    <mergeCell ref="B25:D26"/>
  </mergeCells>
  <printOptions horizontalCentered="1"/>
  <pageMargins left="0.19685039370078741" right="0.19685039370078741" top="0.59055118110236227" bottom="0.19685039370078741" header="0" footer="0.19685039370078741"/>
  <pageSetup paperSize="9" scale="82" orientation="portrait" r:id="rId1"/>
  <headerFooter alignWithMargins="0">
    <oddFooter>&amp;CPágina &amp;P de &amp;N</oddFooter>
  </headerFooter>
  <rowBreaks count="1" manualBreakCount="1">
    <brk id="15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E74F0-BC97-4491-BA0B-AB897540E207}">
  <sheetPr codeName="Sheet64">
    <tabColor rgb="FFFFCC00"/>
  </sheetPr>
  <dimension ref="A1:AF192"/>
  <sheetViews>
    <sheetView showGridLines="0" showRowColHeaders="0" tabSelected="1" topLeftCell="A3" zoomScale="85" zoomScaleNormal="85" zoomScaleSheetLayoutView="85" workbookViewId="0">
      <selection activeCell="M16" sqref="M16"/>
    </sheetView>
  </sheetViews>
  <sheetFormatPr defaultColWidth="0" defaultRowHeight="12.75"/>
  <cols>
    <col min="1" max="1" width="2.85546875" style="21" customWidth="1"/>
    <col min="2" max="2" width="26.140625" style="21" customWidth="1"/>
    <col min="3" max="3" width="13" style="21" customWidth="1"/>
    <col min="4" max="4" width="12.7109375" style="21" customWidth="1"/>
    <col min="5" max="5" width="11.28515625" style="21" customWidth="1"/>
    <col min="6" max="6" width="10.7109375" style="21" customWidth="1"/>
    <col min="7" max="7" width="13.7109375" style="21" customWidth="1"/>
    <col min="8" max="8" width="15" style="21" customWidth="1"/>
    <col min="9" max="9" width="13" style="21" customWidth="1"/>
    <col min="10" max="16" width="12.28515625" style="21" customWidth="1"/>
    <col min="17" max="17" width="11.42578125" style="21" customWidth="1"/>
    <col min="18" max="18" width="8.42578125" style="21" customWidth="1"/>
    <col min="19" max="19" width="7.85546875" style="21" customWidth="1"/>
    <col min="20" max="24" width="24.28515625" style="21" customWidth="1"/>
    <col min="25" max="26" width="11.42578125" style="21" customWidth="1"/>
    <col min="27" max="27" width="6.140625" style="21" hidden="1" customWidth="1"/>
    <col min="28" max="28" width="7.85546875" style="21" hidden="1" customWidth="1"/>
    <col min="29" max="29" width="19.7109375" style="21" hidden="1" customWidth="1"/>
    <col min="30" max="32" width="0" style="21" hidden="1" customWidth="1"/>
    <col min="33" max="16384" width="11.42578125" style="21" hidden="1"/>
  </cols>
  <sheetData>
    <row r="1" spans="2:27" ht="6.75" hidden="1" customHeight="1"/>
    <row r="2" spans="2:27" ht="6.75" hidden="1" customHeight="1"/>
    <row r="3" spans="2:27" ht="38.25" customHeight="1">
      <c r="B3" s="114" t="s">
        <v>132</v>
      </c>
      <c r="C3" s="115"/>
      <c r="D3" s="115"/>
      <c r="E3" s="71"/>
      <c r="F3" s="116"/>
      <c r="G3" s="116"/>
      <c r="H3" s="116"/>
      <c r="I3" s="116"/>
      <c r="J3" s="116"/>
      <c r="K3" s="117"/>
      <c r="L3" s="117"/>
      <c r="M3" s="117"/>
      <c r="N3" s="117"/>
      <c r="O3" s="118"/>
      <c r="P3" s="118"/>
      <c r="Q3" s="119" t="s">
        <v>132</v>
      </c>
      <c r="R3" s="116"/>
      <c r="S3" s="116"/>
      <c r="T3" s="116"/>
      <c r="U3" s="116"/>
      <c r="V3" s="116"/>
      <c r="W3" s="116"/>
      <c r="X3" s="116"/>
      <c r="Y3" s="117"/>
      <c r="Z3" s="117"/>
      <c r="AA3" s="120"/>
    </row>
    <row r="4" spans="2:27" ht="24.75" customHeight="1">
      <c r="B4" s="71" t="s">
        <v>133</v>
      </c>
      <c r="C4" s="116"/>
      <c r="D4" s="116"/>
      <c r="E4" s="116"/>
      <c r="F4" s="116"/>
      <c r="G4" s="116"/>
      <c r="H4" s="121"/>
      <c r="I4" s="122"/>
      <c r="J4" s="122"/>
      <c r="K4" s="123"/>
      <c r="L4" s="123"/>
      <c r="M4" s="123"/>
      <c r="N4" s="123"/>
      <c r="O4" s="118"/>
      <c r="P4" s="118"/>
      <c r="Q4" s="71" t="s">
        <v>133</v>
      </c>
      <c r="R4" s="116"/>
      <c r="S4" s="116"/>
      <c r="T4" s="116"/>
      <c r="U4" s="116"/>
      <c r="V4" s="121"/>
      <c r="W4" s="122"/>
      <c r="X4" s="122"/>
      <c r="Y4" s="123"/>
      <c r="Z4" s="123"/>
      <c r="AA4" s="124"/>
    </row>
    <row r="5" spans="2:27" s="125" customFormat="1" ht="29.25" customHeight="1">
      <c r="B5" s="126"/>
      <c r="C5" s="127"/>
      <c r="D5" s="127"/>
      <c r="E5" s="128"/>
      <c r="F5" s="127"/>
      <c r="G5" s="127"/>
      <c r="H5" s="129"/>
      <c r="I5" s="127"/>
      <c r="J5" s="127"/>
      <c r="K5" s="128"/>
      <c r="L5" s="128"/>
      <c r="M5" s="128"/>
      <c r="N5" s="128"/>
      <c r="O5" s="128"/>
      <c r="P5" s="128"/>
      <c r="Q5" s="34"/>
      <c r="R5" s="128"/>
      <c r="S5" s="128"/>
      <c r="T5" s="128"/>
      <c r="U5" s="128"/>
      <c r="V5" s="128"/>
      <c r="W5" s="128"/>
      <c r="X5" s="128"/>
      <c r="Y5" s="128"/>
      <c r="Z5" s="128"/>
      <c r="AA5" s="130"/>
    </row>
    <row r="6" spans="2:27" ht="19.5" thickBot="1">
      <c r="B6" s="131" t="s">
        <v>134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U6" s="21" t="s">
        <v>135</v>
      </c>
    </row>
    <row r="7" spans="2:27" ht="18.75">
      <c r="B7" s="132"/>
      <c r="C7" s="133"/>
      <c r="D7" s="133"/>
      <c r="E7" s="133"/>
      <c r="F7" s="133"/>
      <c r="G7" s="133"/>
      <c r="H7" s="134"/>
      <c r="I7" s="134"/>
      <c r="J7" s="134"/>
      <c r="K7" s="134"/>
      <c r="L7" s="134"/>
      <c r="M7" s="134"/>
      <c r="N7" s="134"/>
      <c r="O7" s="134"/>
      <c r="P7" s="134"/>
    </row>
    <row r="8" spans="2:27" s="13" customFormat="1" ht="15">
      <c r="B8" s="135" t="s">
        <v>136</v>
      </c>
      <c r="C8" s="136" t="s">
        <v>192</v>
      </c>
      <c r="D8" s="137"/>
      <c r="E8" s="137"/>
      <c r="F8" s="138"/>
      <c r="G8" s="139"/>
      <c r="H8" s="139"/>
      <c r="I8" s="21"/>
    </row>
    <row r="9" spans="2:27" s="13" customFormat="1" ht="31.5" customHeight="1">
      <c r="B9" s="135" t="s">
        <v>137</v>
      </c>
      <c r="C9" s="140">
        <v>15414</v>
      </c>
      <c r="D9" s="138"/>
      <c r="E9" s="138"/>
      <c r="F9" s="138"/>
      <c r="H9" s="141"/>
    </row>
    <row r="10" spans="2:27" s="13" customFormat="1" ht="15">
      <c r="G10" s="257"/>
      <c r="H10" s="258"/>
      <c r="I10" s="258"/>
    </row>
    <row r="11" spans="2:27" s="13" customFormat="1" ht="15">
      <c r="B11" s="135" t="s">
        <v>138</v>
      </c>
      <c r="C11" s="142"/>
      <c r="D11" s="137"/>
      <c r="E11" s="138"/>
      <c r="F11" s="138"/>
      <c r="G11" s="143"/>
      <c r="H11" s="144"/>
      <c r="I11" s="144"/>
    </row>
    <row r="12" spans="2:27">
      <c r="E12" s="145"/>
      <c r="F12" s="145"/>
    </row>
    <row r="13" spans="2:27">
      <c r="C13" s="145"/>
      <c r="D13" s="145"/>
      <c r="E13" s="145"/>
      <c r="F13" s="145"/>
      <c r="H13" s="145"/>
    </row>
    <row r="14" spans="2:27" ht="12" customHeight="1">
      <c r="B14" s="146"/>
      <c r="C14" s="146"/>
      <c r="D14" s="146"/>
      <c r="E14" s="146"/>
      <c r="F14" s="146"/>
      <c r="G14" s="259"/>
      <c r="H14" s="260"/>
      <c r="I14" s="260"/>
    </row>
    <row r="15" spans="2:27" ht="19.5" thickBot="1">
      <c r="B15" s="131" t="s">
        <v>139</v>
      </c>
      <c r="C15" s="131"/>
      <c r="D15" s="131" t="s">
        <v>185</v>
      </c>
      <c r="E15" s="131"/>
      <c r="F15" s="131"/>
      <c r="G15" s="131" t="s">
        <v>140</v>
      </c>
      <c r="H15" s="131"/>
      <c r="I15" s="131"/>
      <c r="J15" s="131"/>
      <c r="K15" s="131"/>
      <c r="L15" s="131"/>
      <c r="M15" s="131"/>
      <c r="N15" s="131"/>
      <c r="O15" s="131"/>
      <c r="P15" s="131"/>
      <c r="Q15" s="131" t="s">
        <v>141</v>
      </c>
      <c r="R15" s="131"/>
      <c r="S15" s="131"/>
      <c r="T15" s="131"/>
      <c r="U15" s="147" t="str">
        <f>D15</f>
        <v>Sevilla</v>
      </c>
      <c r="V15" s="131" t="s">
        <v>140</v>
      </c>
      <c r="W15" s="131"/>
      <c r="X15" s="131"/>
      <c r="Y15" s="148"/>
      <c r="Z15" s="148"/>
    </row>
    <row r="16" spans="2:27" ht="20.25" customHeight="1">
      <c r="K16" s="52"/>
    </row>
    <row r="18" spans="2:29" ht="15.75">
      <c r="B18" s="149" t="s">
        <v>142</v>
      </c>
      <c r="C18" s="150" t="s">
        <v>143</v>
      </c>
      <c r="D18" s="51" t="s">
        <v>181</v>
      </c>
    </row>
    <row r="19" spans="2:29" ht="15.75">
      <c r="B19" s="149" t="s">
        <v>144</v>
      </c>
      <c r="C19" s="151"/>
    </row>
    <row r="20" spans="2:29">
      <c r="D20" s="152" t="s">
        <v>201</v>
      </c>
      <c r="F20" s="51"/>
      <c r="G20" s="51"/>
      <c r="H20" s="51"/>
      <c r="I20" s="51"/>
      <c r="J20" s="51"/>
      <c r="K20" s="51"/>
      <c r="V20" s="21" t="s">
        <v>145</v>
      </c>
    </row>
    <row r="21" spans="2:29" ht="13.5" thickBot="1">
      <c r="D21" s="152" t="s">
        <v>200</v>
      </c>
      <c r="E21" s="152" t="s">
        <v>198</v>
      </c>
      <c r="F21" s="152" t="s">
        <v>199</v>
      </c>
      <c r="G21" s="152"/>
      <c r="H21" s="152"/>
      <c r="I21" s="152"/>
      <c r="J21" s="152"/>
      <c r="K21" s="152"/>
      <c r="L21" s="152"/>
      <c r="M21" s="152"/>
      <c r="N21" s="152"/>
    </row>
    <row r="22" spans="2:29" s="125" customFormat="1" ht="22.5" customHeight="1">
      <c r="B22" s="40" t="s">
        <v>146</v>
      </c>
      <c r="C22" s="40" t="s">
        <v>182</v>
      </c>
      <c r="D22" s="40" t="s">
        <v>183</v>
      </c>
      <c r="E22" s="40" t="s">
        <v>184</v>
      </c>
      <c r="F22" s="40" t="s">
        <v>186</v>
      </c>
      <c r="G22" s="40" t="s">
        <v>187</v>
      </c>
      <c r="H22" s="40" t="s">
        <v>188</v>
      </c>
      <c r="I22" s="40" t="s">
        <v>189</v>
      </c>
      <c r="J22" s="40" t="s">
        <v>190</v>
      </c>
      <c r="K22" s="40" t="s">
        <v>196</v>
      </c>
      <c r="L22" s="40" t="s">
        <v>197</v>
      </c>
      <c r="M22" s="40" t="s">
        <v>191</v>
      </c>
      <c r="N22" s="40" t="s">
        <v>193</v>
      </c>
      <c r="O22" s="40" t="s">
        <v>194</v>
      </c>
      <c r="P22" s="40"/>
      <c r="AA22" s="153" t="s">
        <v>147</v>
      </c>
      <c r="AB22" s="154" t="s">
        <v>148</v>
      </c>
      <c r="AC22" s="154" t="s">
        <v>149</v>
      </c>
    </row>
    <row r="23" spans="2:29" ht="15.75">
      <c r="B23" s="41">
        <v>5</v>
      </c>
      <c r="C23" s="155">
        <v>7.09</v>
      </c>
      <c r="D23" s="155">
        <v>7.09</v>
      </c>
      <c r="E23" s="155">
        <v>7.09</v>
      </c>
      <c r="F23" s="155">
        <v>9.02</v>
      </c>
      <c r="G23" s="155">
        <v>9.39</v>
      </c>
      <c r="H23" s="155">
        <v>10.56</v>
      </c>
      <c r="I23" s="249">
        <v>9.3000000000000007</v>
      </c>
      <c r="J23" s="155">
        <v>15.5</v>
      </c>
      <c r="K23" s="155">
        <v>6.17</v>
      </c>
      <c r="L23" s="155">
        <v>9.4700000000000006</v>
      </c>
      <c r="M23" s="155"/>
      <c r="N23" s="155">
        <v>17.34</v>
      </c>
      <c r="O23" s="155">
        <v>29.42</v>
      </c>
      <c r="P23" s="155"/>
      <c r="AA23" s="156">
        <v>0.08</v>
      </c>
      <c r="AB23" s="157">
        <v>15</v>
      </c>
      <c r="AC23" s="158">
        <v>1650</v>
      </c>
    </row>
    <row r="24" spans="2:29" ht="15.75">
      <c r="B24" s="43">
        <v>10</v>
      </c>
      <c r="C24" s="159">
        <v>7.09</v>
      </c>
      <c r="D24" s="159">
        <v>7.09</v>
      </c>
      <c r="E24" s="159">
        <v>7.09</v>
      </c>
      <c r="F24" s="159">
        <v>9.66</v>
      </c>
      <c r="G24" s="159">
        <v>10.09</v>
      </c>
      <c r="H24" s="159">
        <v>11.29</v>
      </c>
      <c r="I24" s="237">
        <v>9.93</v>
      </c>
      <c r="J24" s="159">
        <v>16.559999999999999</v>
      </c>
      <c r="K24" s="159">
        <v>6.61</v>
      </c>
      <c r="L24" s="159">
        <v>10.119999999999999</v>
      </c>
      <c r="M24" s="159"/>
      <c r="N24" s="159">
        <v>18.45</v>
      </c>
      <c r="O24" s="159">
        <v>31.38</v>
      </c>
      <c r="P24" s="159"/>
      <c r="AA24" s="156">
        <v>7.0000000000000007E-2</v>
      </c>
      <c r="AB24" s="157">
        <v>13.5</v>
      </c>
      <c r="AC24" s="158">
        <v>1301</v>
      </c>
    </row>
    <row r="25" spans="2:29" ht="15">
      <c r="B25" s="43">
        <v>20</v>
      </c>
      <c r="C25" s="159">
        <v>7.35</v>
      </c>
      <c r="D25" s="159">
        <v>8.89</v>
      </c>
      <c r="E25" s="159">
        <v>9.66</v>
      </c>
      <c r="F25" s="159">
        <v>13.89</v>
      </c>
      <c r="G25" s="159">
        <v>14.49</v>
      </c>
      <c r="H25" s="159">
        <v>16.25</v>
      </c>
      <c r="I25" s="237">
        <v>14.3</v>
      </c>
      <c r="J25" s="159">
        <v>23.8</v>
      </c>
      <c r="K25" s="159">
        <v>9.49</v>
      </c>
      <c r="L25" s="159">
        <v>14.55</v>
      </c>
      <c r="M25" s="159"/>
      <c r="N25" s="159">
        <v>26.54</v>
      </c>
      <c r="O25" s="159">
        <v>45.18</v>
      </c>
      <c r="P25" s="159"/>
      <c r="AA25" s="160">
        <v>0.06</v>
      </c>
      <c r="AB25" s="161">
        <v>12</v>
      </c>
      <c r="AC25" s="162">
        <v>1102</v>
      </c>
    </row>
    <row r="26" spans="2:29" ht="15">
      <c r="B26" s="43">
        <v>30</v>
      </c>
      <c r="C26" s="159">
        <v>8.84</v>
      </c>
      <c r="D26" s="159">
        <v>10.97</v>
      </c>
      <c r="E26" s="159">
        <v>12.55</v>
      </c>
      <c r="F26" s="159">
        <v>17.989999999999998</v>
      </c>
      <c r="G26" s="159">
        <v>18.78</v>
      </c>
      <c r="H26" s="159">
        <v>21.06</v>
      </c>
      <c r="I26" s="237">
        <v>18.54</v>
      </c>
      <c r="J26" s="159">
        <v>30.87</v>
      </c>
      <c r="K26" s="159">
        <v>12.3</v>
      </c>
      <c r="L26" s="159">
        <v>18.86</v>
      </c>
      <c r="M26" s="159"/>
      <c r="N26" s="159">
        <v>34.44</v>
      </c>
      <c r="O26" s="159">
        <v>58.54</v>
      </c>
      <c r="P26" s="159"/>
      <c r="AA26" s="160">
        <v>0.05</v>
      </c>
      <c r="AB26" s="161">
        <v>10.5</v>
      </c>
      <c r="AC26" s="162">
        <v>901</v>
      </c>
    </row>
    <row r="27" spans="2:29" ht="15">
      <c r="B27" s="43">
        <v>40</v>
      </c>
      <c r="C27" s="159">
        <v>10.35</v>
      </c>
      <c r="D27" s="159">
        <v>13</v>
      </c>
      <c r="E27" s="159">
        <v>15.06</v>
      </c>
      <c r="F27" s="159">
        <v>21.66</v>
      </c>
      <c r="G27" s="159">
        <v>22.6</v>
      </c>
      <c r="H27" s="159">
        <v>25.36</v>
      </c>
      <c r="I27" s="237">
        <v>22.33</v>
      </c>
      <c r="J27" s="159">
        <v>37.200000000000003</v>
      </c>
      <c r="K27" s="159">
        <v>14.84</v>
      </c>
      <c r="L27" s="159">
        <v>22.71</v>
      </c>
      <c r="M27" s="159"/>
      <c r="N27" s="159">
        <v>41.87</v>
      </c>
      <c r="O27" s="159">
        <v>71.19</v>
      </c>
      <c r="P27" s="159"/>
      <c r="AA27" s="160">
        <v>0.04</v>
      </c>
      <c r="AB27" s="163">
        <v>9.25</v>
      </c>
      <c r="AC27" s="162">
        <v>707</v>
      </c>
    </row>
    <row r="28" spans="2:29" ht="15">
      <c r="B28" s="43">
        <v>50</v>
      </c>
      <c r="C28" s="159">
        <v>11.84</v>
      </c>
      <c r="D28" s="159">
        <v>14.83</v>
      </c>
      <c r="E28" s="159">
        <v>17.25</v>
      </c>
      <c r="F28" s="159">
        <v>24.77</v>
      </c>
      <c r="G28" s="159">
        <v>25.87</v>
      </c>
      <c r="H28" s="159">
        <v>28.96</v>
      </c>
      <c r="I28" s="237">
        <v>25.53</v>
      </c>
      <c r="J28" s="159">
        <v>42.54</v>
      </c>
      <c r="K28" s="159">
        <v>16.95</v>
      </c>
      <c r="L28" s="159">
        <v>25.98</v>
      </c>
      <c r="M28" s="159"/>
      <c r="N28" s="159">
        <v>47.89</v>
      </c>
      <c r="O28" s="159">
        <v>81.400000000000006</v>
      </c>
      <c r="P28" s="159"/>
      <c r="AA28" s="160">
        <v>0.03</v>
      </c>
      <c r="AB28" s="163">
        <v>8.25</v>
      </c>
      <c r="AC28" s="162">
        <v>551</v>
      </c>
    </row>
    <row r="29" spans="2:29" ht="15">
      <c r="B29" s="43">
        <v>60</v>
      </c>
      <c r="C29" s="159">
        <v>13.23</v>
      </c>
      <c r="D29" s="159">
        <v>16.98</v>
      </c>
      <c r="E29" s="159">
        <v>19.440000000000001</v>
      </c>
      <c r="F29" s="159">
        <v>27.91</v>
      </c>
      <c r="G29" s="159">
        <v>29.15</v>
      </c>
      <c r="H29" s="159">
        <v>32.64</v>
      </c>
      <c r="I29" s="237">
        <v>28.81</v>
      </c>
      <c r="J29" s="159">
        <v>47.96</v>
      </c>
      <c r="K29" s="159">
        <v>19.170000000000002</v>
      </c>
      <c r="L29" s="159">
        <v>29.31</v>
      </c>
      <c r="M29" s="159"/>
      <c r="N29" s="159">
        <v>53.99</v>
      </c>
      <c r="O29" s="159">
        <v>91.85</v>
      </c>
      <c r="P29" s="159"/>
      <c r="AA29" s="160">
        <v>0.02</v>
      </c>
      <c r="AB29" s="161">
        <v>7.25</v>
      </c>
      <c r="AC29" s="162">
        <v>363</v>
      </c>
    </row>
    <row r="30" spans="2:29" ht="15">
      <c r="B30" s="43">
        <v>70</v>
      </c>
      <c r="C30" s="159">
        <v>14.72</v>
      </c>
      <c r="D30" s="159">
        <v>18.899999999999999</v>
      </c>
      <c r="E30" s="159">
        <v>21.63</v>
      </c>
      <c r="F30" s="159">
        <v>31.07</v>
      </c>
      <c r="G30" s="159">
        <v>32.450000000000003</v>
      </c>
      <c r="H30" s="159">
        <v>36.380000000000003</v>
      </c>
      <c r="I30" s="237">
        <v>32.06</v>
      </c>
      <c r="J30" s="159">
        <v>53.36</v>
      </c>
      <c r="K30" s="159">
        <v>21.32</v>
      </c>
      <c r="L30" s="159">
        <v>32.6</v>
      </c>
      <c r="M30" s="159"/>
      <c r="N30" s="159">
        <v>60.09</v>
      </c>
      <c r="O30" s="159">
        <v>102.2</v>
      </c>
      <c r="P30" s="159"/>
      <c r="AA30" s="160">
        <v>0.01</v>
      </c>
      <c r="AB30" s="161">
        <v>6.78</v>
      </c>
      <c r="AC30" s="162">
        <v>197.13162118780093</v>
      </c>
    </row>
    <row r="31" spans="2:29" ht="15.75" thickBot="1">
      <c r="B31" s="43">
        <v>80</v>
      </c>
      <c r="C31" s="159">
        <v>16.149999999999999</v>
      </c>
      <c r="D31" s="159">
        <v>20.81</v>
      </c>
      <c r="E31" s="159">
        <v>23.81</v>
      </c>
      <c r="F31" s="159">
        <v>34.24</v>
      </c>
      <c r="G31" s="159">
        <v>35.76</v>
      </c>
      <c r="H31" s="159">
        <v>40.090000000000003</v>
      </c>
      <c r="I31" s="237">
        <v>35.32</v>
      </c>
      <c r="J31" s="159">
        <v>58.79</v>
      </c>
      <c r="K31" s="159">
        <v>23.48</v>
      </c>
      <c r="L31" s="159">
        <v>35.93</v>
      </c>
      <c r="M31" s="159"/>
      <c r="N31" s="159">
        <v>66.22</v>
      </c>
      <c r="O31" s="159">
        <v>112.58</v>
      </c>
      <c r="P31" s="159"/>
      <c r="AA31" s="164">
        <v>0</v>
      </c>
      <c r="AB31" s="165" t="s">
        <v>150</v>
      </c>
      <c r="AC31" s="166" t="s">
        <v>151</v>
      </c>
    </row>
    <row r="32" spans="2:29">
      <c r="B32" s="43">
        <v>90</v>
      </c>
      <c r="C32" s="159">
        <v>17.71</v>
      </c>
      <c r="D32" s="159">
        <v>21.44</v>
      </c>
      <c r="E32" s="159">
        <v>25.92</v>
      </c>
      <c r="F32" s="159">
        <v>37.26</v>
      </c>
      <c r="G32" s="159">
        <v>38.92</v>
      </c>
      <c r="H32" s="159">
        <v>43.62</v>
      </c>
      <c r="I32" s="237">
        <v>38.44</v>
      </c>
      <c r="J32" s="159">
        <v>63.99</v>
      </c>
      <c r="K32" s="159">
        <v>25.54</v>
      </c>
      <c r="L32" s="159">
        <v>39.11</v>
      </c>
      <c r="M32" s="159"/>
      <c r="N32" s="159">
        <v>72.03</v>
      </c>
      <c r="O32" s="159">
        <v>122.47</v>
      </c>
      <c r="P32" s="159"/>
    </row>
    <row r="33" spans="2:16">
      <c r="B33" s="43">
        <v>100</v>
      </c>
      <c r="C33" s="159">
        <v>19.25</v>
      </c>
      <c r="D33" s="159">
        <v>23.29</v>
      </c>
      <c r="E33" s="159">
        <v>28.22</v>
      </c>
      <c r="F33" s="159">
        <v>40.54</v>
      </c>
      <c r="G33" s="159">
        <v>42.33</v>
      </c>
      <c r="H33" s="159">
        <v>47.5</v>
      </c>
      <c r="I33" s="237">
        <v>41.82</v>
      </c>
      <c r="J33" s="159">
        <v>69.64</v>
      </c>
      <c r="K33" s="159">
        <v>27.83</v>
      </c>
      <c r="L33" s="159">
        <v>42.58</v>
      </c>
      <c r="M33" s="159"/>
      <c r="N33" s="159">
        <v>78.510000000000005</v>
      </c>
      <c r="O33" s="159">
        <v>133.35</v>
      </c>
      <c r="P33" s="159"/>
    </row>
    <row r="34" spans="2:16">
      <c r="B34" s="43">
        <v>125</v>
      </c>
      <c r="C34" s="159">
        <v>21.66</v>
      </c>
      <c r="D34" s="159">
        <v>26.34</v>
      </c>
      <c r="E34" s="159">
        <v>32.130000000000003</v>
      </c>
      <c r="F34" s="159">
        <v>46.11</v>
      </c>
      <c r="G34" s="159">
        <v>48.19</v>
      </c>
      <c r="H34" s="159">
        <v>54</v>
      </c>
      <c r="I34" s="237">
        <v>47.57</v>
      </c>
      <c r="J34" s="159">
        <v>79.239999999999995</v>
      </c>
      <c r="K34" s="159">
        <v>31.63</v>
      </c>
      <c r="L34" s="159">
        <v>48.41</v>
      </c>
      <c r="M34" s="159"/>
      <c r="N34" s="159">
        <v>89.24</v>
      </c>
      <c r="O34" s="159">
        <v>151.62</v>
      </c>
      <c r="P34" s="159"/>
    </row>
    <row r="35" spans="2:16">
      <c r="B35" s="43">
        <v>150</v>
      </c>
      <c r="C35" s="159">
        <v>25.38</v>
      </c>
      <c r="D35" s="159">
        <v>30.74</v>
      </c>
      <c r="E35" s="159">
        <v>37.4</v>
      </c>
      <c r="F35" s="159">
        <v>53.73</v>
      </c>
      <c r="G35" s="159">
        <v>56.05</v>
      </c>
      <c r="H35" s="159">
        <v>62.89</v>
      </c>
      <c r="I35" s="237">
        <v>55.41</v>
      </c>
      <c r="J35" s="159">
        <v>92.22</v>
      </c>
      <c r="K35" s="159">
        <v>36.79</v>
      </c>
      <c r="L35" s="159">
        <v>56.36</v>
      </c>
      <c r="M35" s="159"/>
      <c r="N35" s="159">
        <v>103.89</v>
      </c>
      <c r="O35" s="159">
        <v>176.6</v>
      </c>
      <c r="P35" s="159"/>
    </row>
    <row r="36" spans="2:16">
      <c r="B36" s="43">
        <v>175</v>
      </c>
      <c r="C36" s="159">
        <v>28.08</v>
      </c>
      <c r="D36" s="159">
        <v>34.049999999999997</v>
      </c>
      <c r="E36" s="159">
        <v>41.37</v>
      </c>
      <c r="F36" s="159">
        <v>59.42</v>
      </c>
      <c r="G36" s="159">
        <v>62.05</v>
      </c>
      <c r="H36" s="159">
        <v>69.58</v>
      </c>
      <c r="I36" s="237">
        <v>61.31</v>
      </c>
      <c r="J36" s="159">
        <v>102.03</v>
      </c>
      <c r="K36" s="159">
        <v>40.729999999999997</v>
      </c>
      <c r="L36" s="159">
        <v>62.37</v>
      </c>
      <c r="M36" s="159"/>
      <c r="N36" s="159">
        <v>117.17</v>
      </c>
      <c r="O36" s="159">
        <v>199.14</v>
      </c>
      <c r="P36" s="159"/>
    </row>
    <row r="37" spans="2:16">
      <c r="B37" s="43">
        <v>200</v>
      </c>
      <c r="C37" s="159">
        <v>31.46</v>
      </c>
      <c r="D37" s="159">
        <v>38.119999999999997</v>
      </c>
      <c r="E37" s="159">
        <v>46.29</v>
      </c>
      <c r="F37" s="159">
        <v>66.489999999999995</v>
      </c>
      <c r="G37" s="159">
        <v>69.42</v>
      </c>
      <c r="H37" s="159">
        <v>77.87</v>
      </c>
      <c r="I37" s="237">
        <v>68.58</v>
      </c>
      <c r="J37" s="159">
        <v>114.17</v>
      </c>
      <c r="K37" s="159">
        <v>45.57</v>
      </c>
      <c r="L37" s="159">
        <v>69.81</v>
      </c>
      <c r="M37" s="159"/>
      <c r="N37" s="159">
        <v>131.13999999999999</v>
      </c>
      <c r="O37" s="159">
        <v>222.83</v>
      </c>
      <c r="P37" s="159"/>
    </row>
    <row r="38" spans="2:16">
      <c r="B38" s="43">
        <v>250</v>
      </c>
      <c r="C38" s="159">
        <v>35.74</v>
      </c>
      <c r="D38" s="159">
        <v>43.38</v>
      </c>
      <c r="E38" s="159">
        <v>52.71</v>
      </c>
      <c r="F38" s="159">
        <v>75.72</v>
      </c>
      <c r="G38" s="159">
        <v>79.06</v>
      </c>
      <c r="H38" s="159">
        <v>88.64</v>
      </c>
      <c r="I38" s="237">
        <v>78.12</v>
      </c>
      <c r="J38" s="159">
        <v>130</v>
      </c>
      <c r="K38" s="159">
        <v>51.9</v>
      </c>
      <c r="L38" s="159">
        <v>79.45</v>
      </c>
      <c r="M38" s="159"/>
      <c r="N38" s="159">
        <v>149.24</v>
      </c>
      <c r="O38" s="159">
        <v>253.81</v>
      </c>
      <c r="P38" s="159"/>
    </row>
    <row r="39" spans="2:16">
      <c r="B39" s="43">
        <v>300</v>
      </c>
      <c r="C39" s="159">
        <v>40.130000000000003</v>
      </c>
      <c r="D39" s="159">
        <v>48.84</v>
      </c>
      <c r="E39" s="159">
        <v>59.57</v>
      </c>
      <c r="F39" s="159">
        <v>85.55</v>
      </c>
      <c r="G39" s="159">
        <v>89.29</v>
      </c>
      <c r="H39" s="159">
        <v>100.17</v>
      </c>
      <c r="I39" s="237">
        <v>88.25</v>
      </c>
      <c r="J39" s="159">
        <v>146.87</v>
      </c>
      <c r="K39" s="159">
        <v>58.62</v>
      </c>
      <c r="L39" s="159">
        <v>89.78</v>
      </c>
      <c r="M39" s="159"/>
      <c r="N39" s="159">
        <v>168.71</v>
      </c>
      <c r="O39" s="159">
        <v>286.68</v>
      </c>
      <c r="P39" s="159"/>
    </row>
    <row r="40" spans="2:16">
      <c r="B40" s="43">
        <v>350</v>
      </c>
      <c r="C40" s="159">
        <v>44.7</v>
      </c>
      <c r="D40" s="159">
        <v>54.54</v>
      </c>
      <c r="E40" s="159">
        <v>66.8</v>
      </c>
      <c r="F40" s="159">
        <v>95.95</v>
      </c>
      <c r="G40" s="159">
        <v>100.2</v>
      </c>
      <c r="H40" s="159">
        <v>112.35</v>
      </c>
      <c r="I40" s="237">
        <v>99.02</v>
      </c>
      <c r="J40" s="159">
        <v>164.75</v>
      </c>
      <c r="K40" s="159">
        <v>65.739999999999995</v>
      </c>
      <c r="L40" s="159">
        <v>100.69</v>
      </c>
      <c r="M40" s="159"/>
      <c r="N40" s="159">
        <v>189.15</v>
      </c>
      <c r="O40" s="159">
        <v>321.64999999999998</v>
      </c>
      <c r="P40" s="159"/>
    </row>
    <row r="41" spans="2:16">
      <c r="B41" s="43">
        <v>400</v>
      </c>
      <c r="C41" s="159">
        <v>49.29</v>
      </c>
      <c r="D41" s="159">
        <v>59.83</v>
      </c>
      <c r="E41" s="159">
        <v>73.819999999999993</v>
      </c>
      <c r="F41" s="159">
        <v>106.03</v>
      </c>
      <c r="G41" s="159">
        <v>110.69</v>
      </c>
      <c r="H41" s="159">
        <v>124.16</v>
      </c>
      <c r="I41" s="237">
        <v>109.36</v>
      </c>
      <c r="J41" s="159">
        <v>182.11</v>
      </c>
      <c r="K41" s="159">
        <v>72.66</v>
      </c>
      <c r="L41" s="159">
        <v>111.24</v>
      </c>
      <c r="M41" s="159"/>
      <c r="N41" s="159">
        <v>209.08</v>
      </c>
      <c r="O41" s="159">
        <v>355.37</v>
      </c>
      <c r="P41" s="159"/>
    </row>
    <row r="42" spans="2:16">
      <c r="B42" s="43">
        <v>450</v>
      </c>
      <c r="C42" s="159">
        <v>53.32</v>
      </c>
      <c r="D42" s="159">
        <v>65.47</v>
      </c>
      <c r="E42" s="159">
        <v>80.91</v>
      </c>
      <c r="F42" s="159">
        <v>116.22</v>
      </c>
      <c r="G42" s="159">
        <v>121.36</v>
      </c>
      <c r="H42" s="159">
        <v>136.09</v>
      </c>
      <c r="I42" s="237">
        <v>119.9</v>
      </c>
      <c r="J42" s="159">
        <v>199.58</v>
      </c>
      <c r="K42" s="159">
        <v>79.66</v>
      </c>
      <c r="L42" s="159">
        <v>121.98</v>
      </c>
      <c r="M42" s="159"/>
      <c r="N42" s="159">
        <v>229.12</v>
      </c>
      <c r="O42" s="159">
        <v>389.58</v>
      </c>
      <c r="P42" s="159"/>
    </row>
    <row r="43" spans="2:16">
      <c r="B43" s="43">
        <v>500</v>
      </c>
      <c r="C43" s="159">
        <v>57.63</v>
      </c>
      <c r="D43" s="159">
        <v>71.099999999999994</v>
      </c>
      <c r="E43" s="159">
        <v>88.33</v>
      </c>
      <c r="F43" s="159">
        <v>126.89</v>
      </c>
      <c r="G43" s="159">
        <v>132.47</v>
      </c>
      <c r="H43" s="159">
        <v>148.59</v>
      </c>
      <c r="I43" s="237">
        <v>130.88999999999999</v>
      </c>
      <c r="J43" s="159">
        <v>217.9</v>
      </c>
      <c r="K43" s="159">
        <v>86.93</v>
      </c>
      <c r="L43" s="159">
        <v>133.13</v>
      </c>
      <c r="M43" s="159"/>
      <c r="N43" s="159">
        <v>250.21</v>
      </c>
      <c r="O43" s="159">
        <v>425.29</v>
      </c>
      <c r="P43" s="159"/>
    </row>
    <row r="44" spans="2:16">
      <c r="B44" s="43">
        <v>600</v>
      </c>
      <c r="C44" s="159">
        <v>70.81</v>
      </c>
      <c r="D44" s="159">
        <v>86.21</v>
      </c>
      <c r="E44" s="159">
        <v>114.69</v>
      </c>
      <c r="F44" s="159">
        <v>164.76</v>
      </c>
      <c r="G44" s="159">
        <v>172.04</v>
      </c>
      <c r="H44" s="159">
        <v>192.96</v>
      </c>
      <c r="I44" s="237">
        <v>170</v>
      </c>
      <c r="J44" s="159">
        <v>282.98</v>
      </c>
      <c r="K44" s="159">
        <v>112.94</v>
      </c>
      <c r="L44" s="159">
        <v>172.91</v>
      </c>
      <c r="M44" s="159"/>
      <c r="N44" s="159">
        <v>308.63</v>
      </c>
      <c r="O44" s="159">
        <v>524.72</v>
      </c>
      <c r="P44" s="159"/>
    </row>
    <row r="45" spans="2:16">
      <c r="B45" s="43">
        <v>700</v>
      </c>
      <c r="C45" s="159">
        <v>79.58</v>
      </c>
      <c r="D45" s="159">
        <v>97.27</v>
      </c>
      <c r="E45" s="159">
        <v>130.53</v>
      </c>
      <c r="F45" s="159">
        <v>187.5</v>
      </c>
      <c r="G45" s="159">
        <v>195.77</v>
      </c>
      <c r="H45" s="159">
        <v>219.58</v>
      </c>
      <c r="I45" s="237">
        <v>193.4</v>
      </c>
      <c r="J45" s="159">
        <v>321.94</v>
      </c>
      <c r="K45" s="159">
        <v>128.47</v>
      </c>
      <c r="L45" s="159">
        <v>196.72</v>
      </c>
      <c r="M45" s="159"/>
      <c r="N45" s="159">
        <v>351.17</v>
      </c>
      <c r="O45" s="159">
        <v>596.94000000000005</v>
      </c>
      <c r="P45" s="159"/>
    </row>
    <row r="46" spans="2:16">
      <c r="B46" s="43">
        <v>800</v>
      </c>
      <c r="C46" s="159">
        <v>87.72</v>
      </c>
      <c r="D46" s="159">
        <v>107.91</v>
      </c>
      <c r="E46" s="159">
        <v>146.5</v>
      </c>
      <c r="F46" s="159">
        <v>210.46</v>
      </c>
      <c r="G46" s="159">
        <v>219.72</v>
      </c>
      <c r="H46" s="159">
        <v>246.46</v>
      </c>
      <c r="I46" s="237">
        <v>217.13</v>
      </c>
      <c r="J46" s="159">
        <v>361.43</v>
      </c>
      <c r="K46" s="159">
        <v>144.19999999999999</v>
      </c>
      <c r="L46" s="159">
        <v>220.82</v>
      </c>
      <c r="M46" s="159"/>
      <c r="N46" s="159">
        <v>394.15</v>
      </c>
      <c r="O46" s="159">
        <v>670.16</v>
      </c>
      <c r="P46" s="159"/>
    </row>
    <row r="47" spans="2:16">
      <c r="B47" s="43">
        <v>900</v>
      </c>
      <c r="C47" s="159">
        <v>96.73</v>
      </c>
      <c r="D47" s="159">
        <v>119.26</v>
      </c>
      <c r="E47" s="159">
        <v>162.69</v>
      </c>
      <c r="F47" s="159">
        <v>233.8</v>
      </c>
      <c r="G47" s="159">
        <v>244.08</v>
      </c>
      <c r="H47" s="159">
        <v>273.77</v>
      </c>
      <c r="I47" s="237">
        <v>241.15</v>
      </c>
      <c r="J47" s="159">
        <v>401.46</v>
      </c>
      <c r="K47" s="159">
        <v>160.16999999999999</v>
      </c>
      <c r="L47" s="159">
        <v>245.32</v>
      </c>
      <c r="M47" s="159"/>
      <c r="N47" s="159">
        <v>437.79</v>
      </c>
      <c r="O47" s="159">
        <v>744.3</v>
      </c>
      <c r="P47" s="159"/>
    </row>
    <row r="48" spans="2:16">
      <c r="B48" s="43">
        <v>1000</v>
      </c>
      <c r="C48" s="159">
        <v>106.65</v>
      </c>
      <c r="D48" s="159">
        <v>131.93</v>
      </c>
      <c r="E48" s="159">
        <v>181.19</v>
      </c>
      <c r="F48" s="159">
        <v>260.32</v>
      </c>
      <c r="G48" s="159">
        <v>271.81</v>
      </c>
      <c r="H48" s="159">
        <v>304.87</v>
      </c>
      <c r="I48" s="237">
        <v>268.54000000000002</v>
      </c>
      <c r="J48" s="159">
        <v>447.06</v>
      </c>
      <c r="K48" s="159">
        <v>178.39</v>
      </c>
      <c r="L48" s="159">
        <v>273.20999999999998</v>
      </c>
      <c r="M48" s="159"/>
      <c r="N48" s="159">
        <v>487.58</v>
      </c>
      <c r="O48" s="159">
        <v>828.95</v>
      </c>
      <c r="P48" s="159"/>
    </row>
    <row r="49" spans="2:16" ht="28.5" thickBot="1">
      <c r="B49" s="46" t="s">
        <v>152</v>
      </c>
      <c r="C49" s="167">
        <v>9.86</v>
      </c>
      <c r="D49" s="167">
        <v>11.96</v>
      </c>
      <c r="E49" s="167">
        <v>16.47</v>
      </c>
      <c r="F49" s="167">
        <v>23.81</v>
      </c>
      <c r="G49" s="167">
        <v>24.76</v>
      </c>
      <c r="H49" s="167">
        <v>27.9</v>
      </c>
      <c r="I49" s="167">
        <v>24.34</v>
      </c>
      <c r="J49" s="167">
        <v>40.700000000000003</v>
      </c>
      <c r="K49" s="167">
        <v>16.260000000000002</v>
      </c>
      <c r="L49" s="167">
        <v>24.76</v>
      </c>
      <c r="M49" s="167"/>
      <c r="N49" s="167">
        <v>100.36</v>
      </c>
      <c r="O49" s="167">
        <v>118.93</v>
      </c>
      <c r="P49" s="167"/>
    </row>
    <row r="50" spans="2:16">
      <c r="B50" s="168"/>
      <c r="C50" s="169"/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</row>
    <row r="51" spans="2:16" ht="25.5">
      <c r="B51" s="40" t="s">
        <v>153</v>
      </c>
      <c r="C51" s="40" t="s">
        <v>154</v>
      </c>
      <c r="D51" s="170"/>
      <c r="E51" s="171" t="s">
        <v>155</v>
      </c>
      <c r="F51" s="171"/>
      <c r="G51" s="171"/>
      <c r="H51" s="125"/>
      <c r="I51" s="170"/>
      <c r="J51" s="172"/>
      <c r="K51" s="172"/>
      <c r="L51" s="173"/>
      <c r="M51" s="173"/>
    </row>
    <row r="52" spans="2:16" ht="18" customHeight="1">
      <c r="B52" s="174" t="s">
        <v>156</v>
      </c>
      <c r="C52" s="175">
        <f>IF(I52="","",I52)</f>
        <v>0</v>
      </c>
      <c r="D52" s="176" t="str">
        <f t="shared" ref="D52" si="0">IF(B52="REEXP.","(*)","")</f>
        <v/>
      </c>
      <c r="E52" s="177"/>
      <c r="F52" s="177">
        <v>0.47</v>
      </c>
      <c r="G52" s="177"/>
      <c r="H52" s="176"/>
      <c r="I52" s="176">
        <v>0</v>
      </c>
      <c r="J52" s="172"/>
      <c r="K52" s="172"/>
      <c r="L52" s="173"/>
      <c r="M52" s="173"/>
    </row>
    <row r="53" spans="2:16" ht="18" customHeight="1">
      <c r="B53" s="178" t="s">
        <v>157</v>
      </c>
      <c r="C53" s="179">
        <f t="shared" ref="C53:C54" si="1">IF(I53="","",I53)</f>
        <v>0</v>
      </c>
      <c r="D53" s="176"/>
      <c r="E53" s="176"/>
      <c r="F53" s="180"/>
      <c r="G53" s="181"/>
      <c r="H53" s="181"/>
      <c r="I53" s="182">
        <v>0</v>
      </c>
      <c r="J53" s="181"/>
      <c r="K53" s="173"/>
      <c r="L53" s="173"/>
      <c r="M53" s="173"/>
    </row>
    <row r="54" spans="2:16" ht="18" customHeight="1">
      <c r="B54" s="178" t="s">
        <v>117</v>
      </c>
      <c r="C54" s="179">
        <f t="shared" si="1"/>
        <v>0</v>
      </c>
      <c r="D54" s="13" t="str">
        <f>IF(B54="REEXPEDICIÓN","(2)","")</f>
        <v>(2)</v>
      </c>
      <c r="E54" s="13"/>
      <c r="F54" s="180"/>
      <c r="G54" s="181"/>
      <c r="H54" s="181"/>
      <c r="I54" s="182">
        <v>0</v>
      </c>
      <c r="J54" s="181"/>
      <c r="K54" s="173"/>
      <c r="L54" s="173"/>
      <c r="M54" s="173"/>
    </row>
    <row r="55" spans="2:16" ht="19.5" customHeight="1">
      <c r="B55" s="183" t="s">
        <v>158</v>
      </c>
      <c r="C55" s="184"/>
      <c r="D55" s="184"/>
      <c r="E55" s="184"/>
      <c r="F55" s="184"/>
      <c r="G55" s="185"/>
      <c r="H55" s="185"/>
      <c r="I55" s="186"/>
      <c r="J55" s="173"/>
      <c r="K55" s="173"/>
      <c r="L55" s="173"/>
      <c r="M55" s="173"/>
    </row>
    <row r="56" spans="2:16" ht="19.5" customHeight="1">
      <c r="B56" s="187" t="s">
        <v>159</v>
      </c>
      <c r="C56" s="184"/>
      <c r="D56" s="184"/>
      <c r="E56" s="184"/>
      <c r="F56" s="184"/>
      <c r="G56" s="185"/>
      <c r="H56" s="185"/>
      <c r="I56" s="186"/>
      <c r="J56" s="173"/>
      <c r="K56" s="173"/>
      <c r="L56" s="173"/>
      <c r="M56" s="173"/>
    </row>
    <row r="57" spans="2:16" s="52" customFormat="1" ht="32.25" customHeight="1">
      <c r="B57" s="188" t="s">
        <v>160</v>
      </c>
      <c r="C57" s="189">
        <v>0</v>
      </c>
      <c r="D57" s="13" t="s">
        <v>161</v>
      </c>
      <c r="F57" s="190"/>
      <c r="H57" s="191" t="str">
        <f>IF(OR($D$18="",$D$18="s/ Tarifa Pub."),"tarifa general","tarifa especial")</f>
        <v>tarifa especial</v>
      </c>
      <c r="I57" s="13" t="s">
        <v>162</v>
      </c>
    </row>
    <row r="58" spans="2:16" s="13" customFormat="1" ht="15">
      <c r="B58" s="192" t="s">
        <v>163</v>
      </c>
      <c r="H58" s="261" t="str">
        <f>(IF(C57=0.08,AB23,IF(C57=0.07,AB24,IF(C57=0.06,AB25,IF(C57=0.05,AB26,IF(C57=0.04,AB27,IF(C57=0.03,AB28,IF(C57=0.02,AB29,IF(C57=0.01,AB30,AB31)))))))))</f>
        <v>el valor IPEM vigente</v>
      </c>
      <c r="I58" s="261"/>
    </row>
    <row r="59" spans="2:16" s="13" customFormat="1" ht="14.25" customHeight="1">
      <c r="B59" s="192" t="s">
        <v>164</v>
      </c>
      <c r="C59" s="193" t="str">
        <f>+IF(C57=0.08,AC23,IF(C57=0.07,AC24,IF(C57=0.06,AC25,IF(C57=0.05,AC26,IF(C57=0.04,AC27,IF(C57=0.03,AC28,IF(C57=0.02,AC29,IF(C57=0.01,AC30,AC31))))))))</f>
        <v>1/3 del IPREM</v>
      </c>
      <c r="D59" s="13" t="str">
        <f>IF(C59="1/3 del IPREM","según LCTTM.","por envío.")</f>
        <v>según LCTTM.</v>
      </c>
    </row>
    <row r="60" spans="2:16" s="52" customFormat="1" ht="25.5" customHeight="1" thickBot="1">
      <c r="B60" s="194" t="s">
        <v>165</v>
      </c>
      <c r="D60" s="195"/>
      <c r="F60" s="195"/>
    </row>
    <row r="61" spans="2:16" s="52" customFormat="1" ht="25.5" customHeight="1" thickBot="1">
      <c r="B61" s="146" t="s">
        <v>166</v>
      </c>
      <c r="F61" s="196"/>
      <c r="G61" s="197" t="s">
        <v>167</v>
      </c>
      <c r="H61" s="198"/>
      <c r="I61" s="199" t="s">
        <v>168</v>
      </c>
    </row>
    <row r="62" spans="2:16" ht="15.95" customHeight="1">
      <c r="B62" s="13"/>
      <c r="F62" s="200"/>
      <c r="G62" s="201" t="s">
        <v>169</v>
      </c>
      <c r="H62" s="202">
        <v>500</v>
      </c>
      <c r="I62" s="203">
        <v>250</v>
      </c>
      <c r="J62" s="21" t="str">
        <f>IF(OR(I62="",I62=0),"Falta indicar el ratio volumétrico","")</f>
        <v/>
      </c>
    </row>
    <row r="63" spans="2:16" ht="15.95" customHeight="1">
      <c r="F63" s="200"/>
      <c r="G63" s="204" t="s">
        <v>169</v>
      </c>
      <c r="H63" s="205">
        <v>1000</v>
      </c>
      <c r="I63" s="206">
        <v>250</v>
      </c>
      <c r="J63" s="21" t="str">
        <f>IF(OR(I63="",I63=0),"Falta indicar el ratio volumétrico","")</f>
        <v/>
      </c>
    </row>
    <row r="64" spans="2:16" ht="15.95" customHeight="1" thickBot="1">
      <c r="F64" s="200"/>
      <c r="G64" s="207" t="s">
        <v>169</v>
      </c>
      <c r="H64" s="208">
        <v>99999</v>
      </c>
      <c r="I64" s="209">
        <v>250</v>
      </c>
      <c r="J64" s="21" t="str">
        <f>IF(OR(I64="",I64=0),"Falta indicar el ratio volumétrico","")</f>
        <v/>
      </c>
    </row>
    <row r="65" spans="1:15" ht="15.75" customHeight="1">
      <c r="F65" s="200"/>
      <c r="G65" s="125" t="s">
        <v>170</v>
      </c>
      <c r="H65" s="210"/>
      <c r="I65" s="211"/>
    </row>
    <row r="66" spans="1:15" ht="24.75" customHeight="1">
      <c r="B66" s="212" t="s">
        <v>171</v>
      </c>
    </row>
    <row r="67" spans="1:15" s="52" customFormat="1" ht="15.75">
      <c r="A67" s="21"/>
      <c r="B67" s="13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</row>
    <row r="68" spans="1:15" ht="15.75">
      <c r="A68" s="52"/>
      <c r="B68" s="146" t="s">
        <v>172</v>
      </c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</row>
    <row r="69" spans="1:15" ht="15.75">
      <c r="B69" s="194"/>
      <c r="C69" s="52"/>
      <c r="D69" s="195"/>
      <c r="E69" s="52"/>
      <c r="F69" s="195"/>
    </row>
    <row r="70" spans="1:15" ht="15.75">
      <c r="B70" s="146" t="s">
        <v>173</v>
      </c>
      <c r="C70" s="52"/>
      <c r="D70" s="213" t="s">
        <v>174</v>
      </c>
      <c r="E70" s="214"/>
      <c r="G70" s="21" t="str">
        <f>IF(OR(E70="",E70=0),"Falta indicar el número de envíos/mes","")</f>
        <v>Falta indicar el número de envíos/mes</v>
      </c>
      <c r="H70" s="52"/>
      <c r="I70" s="52"/>
      <c r="J70" s="52"/>
    </row>
    <row r="71" spans="1:15" ht="15.75">
      <c r="B71" s="194"/>
      <c r="C71" s="52"/>
      <c r="D71" s="213" t="s">
        <v>175</v>
      </c>
      <c r="E71" s="215"/>
      <c r="F71" s="195"/>
      <c r="G71" s="21" t="str">
        <f>IF(OR(E71="",E71=0),"Falta indicar la facturación/mes","")</f>
        <v>Falta indicar la facturación/mes</v>
      </c>
    </row>
    <row r="72" spans="1:15" ht="15.75">
      <c r="B72" s="146" t="s">
        <v>176</v>
      </c>
      <c r="C72" s="52"/>
      <c r="D72" s="195"/>
      <c r="E72" s="52"/>
      <c r="F72" s="195"/>
    </row>
    <row r="74" spans="1:15" s="13" customFormat="1" ht="18">
      <c r="A74" s="21"/>
      <c r="B74" s="146" t="s">
        <v>177</v>
      </c>
      <c r="C74" s="146"/>
      <c r="D74" s="146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</row>
    <row r="75" spans="1:15" s="13" customFormat="1" ht="15">
      <c r="B75" s="216" t="s">
        <v>33</v>
      </c>
      <c r="C75" s="217">
        <v>46023</v>
      </c>
    </row>
    <row r="76" spans="1:15" ht="15">
      <c r="A76" s="13"/>
      <c r="B76" s="216" t="s">
        <v>34</v>
      </c>
      <c r="C76" s="218" t="s">
        <v>35</v>
      </c>
      <c r="D76" s="141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</row>
    <row r="77" spans="1:15" s="13" customFormat="1" ht="15.75" customHeight="1">
      <c r="A77" s="21"/>
      <c r="B77" s="219"/>
      <c r="C77" s="220"/>
      <c r="D77" s="2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</row>
    <row r="78" spans="1:15" s="13" customFormat="1" ht="15" customHeight="1">
      <c r="B78" s="262" t="s">
        <v>178</v>
      </c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</row>
    <row r="79" spans="1:15" s="13" customFormat="1" ht="15"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</row>
    <row r="80" spans="1:15" s="13" customFormat="1" ht="15"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</row>
    <row r="81" spans="1:29" s="13" customFormat="1" ht="15">
      <c r="B81" s="222" t="s">
        <v>40</v>
      </c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</row>
    <row r="82" spans="1:29" s="224" customFormat="1" ht="15">
      <c r="B82" s="222" t="s">
        <v>41</v>
      </c>
      <c r="C82" s="225"/>
      <c r="D82" s="225"/>
      <c r="E82" s="225"/>
      <c r="F82" s="226"/>
      <c r="G82" s="227"/>
      <c r="H82" s="227"/>
      <c r="I82" s="227"/>
      <c r="J82" s="227"/>
      <c r="K82" s="227"/>
      <c r="L82" s="227"/>
      <c r="M82" s="227"/>
      <c r="N82" s="227"/>
      <c r="O82" s="13"/>
      <c r="P82" s="13"/>
    </row>
    <row r="83" spans="1:29" s="13" customFormat="1" ht="15">
      <c r="B83" s="228" t="s">
        <v>42</v>
      </c>
      <c r="C83" s="229"/>
      <c r="D83" s="229"/>
      <c r="E83" s="229"/>
      <c r="F83" s="229"/>
      <c r="G83" s="229"/>
      <c r="H83" s="229"/>
      <c r="I83" s="229"/>
      <c r="J83" s="229"/>
      <c r="K83" s="229"/>
      <c r="L83" s="229"/>
      <c r="M83" s="229"/>
      <c r="N83" s="229"/>
    </row>
    <row r="84" spans="1:29" s="13" customFormat="1" ht="15">
      <c r="B84" s="222" t="s">
        <v>43</v>
      </c>
    </row>
    <row r="85" spans="1:29" ht="15">
      <c r="A85" s="13"/>
      <c r="B85" s="222" t="s">
        <v>44</v>
      </c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13"/>
    </row>
    <row r="86" spans="1:29" ht="15">
      <c r="B86" s="222" t="s">
        <v>45</v>
      </c>
      <c r="AA86" s="13"/>
      <c r="AB86" s="13"/>
      <c r="AC86" s="13"/>
    </row>
    <row r="87" spans="1:29" s="13" customFormat="1" ht="15">
      <c r="A87" s="21"/>
      <c r="B87" s="222" t="s">
        <v>46</v>
      </c>
      <c r="AA87" s="21"/>
      <c r="AB87" s="21"/>
      <c r="AC87" s="21"/>
    </row>
    <row r="88" spans="1:29" ht="15">
      <c r="A88" s="13"/>
      <c r="B88" s="222" t="s">
        <v>47</v>
      </c>
    </row>
    <row r="89" spans="1:29" ht="15">
      <c r="B89" s="230" t="s">
        <v>48</v>
      </c>
    </row>
    <row r="90" spans="1:29" ht="15">
      <c r="B90" s="230" t="s">
        <v>179</v>
      </c>
    </row>
    <row r="91" spans="1:29" ht="15">
      <c r="B91" s="231" t="s">
        <v>180</v>
      </c>
      <c r="G91" s="232">
        <f ca="1">EDATE(TODAY(),3)</f>
        <v>46082</v>
      </c>
    </row>
    <row r="93" spans="1:29" ht="19.5" thickBot="1">
      <c r="B93" s="131" t="s">
        <v>50</v>
      </c>
      <c r="C93" s="131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1"/>
      <c r="O93" s="13"/>
    </row>
    <row r="94" spans="1:29" ht="16.5" customHeight="1">
      <c r="B94" s="233" t="s">
        <v>51</v>
      </c>
      <c r="C94" s="233"/>
      <c r="D94" s="233"/>
      <c r="E94" s="234"/>
      <c r="F94" s="234"/>
      <c r="G94" s="233" t="s">
        <v>52</v>
      </c>
      <c r="H94" s="234"/>
      <c r="I94" s="234"/>
      <c r="J94" s="234"/>
      <c r="K94" s="234"/>
      <c r="L94" s="234"/>
      <c r="M94" s="234"/>
      <c r="N94" s="234"/>
    </row>
    <row r="95" spans="1:29" ht="15.75">
      <c r="B95" s="146"/>
      <c r="C95" s="13"/>
      <c r="D95" s="13"/>
      <c r="E95" s="13"/>
      <c r="F95" s="13"/>
      <c r="G95" s="146"/>
      <c r="H95" s="13"/>
      <c r="I95" s="13"/>
      <c r="J95" s="13"/>
      <c r="K95" s="13"/>
      <c r="L95" s="13"/>
      <c r="M95" s="13"/>
    </row>
    <row r="96" spans="1:29" ht="15.75">
      <c r="B96" s="146" t="s">
        <v>53</v>
      </c>
      <c r="C96" s="13"/>
      <c r="D96" s="13"/>
      <c r="E96" s="13"/>
      <c r="F96" s="13"/>
      <c r="G96" s="146" t="s">
        <v>53</v>
      </c>
      <c r="H96" s="192"/>
      <c r="I96" s="13"/>
      <c r="J96" s="13"/>
      <c r="K96" s="13"/>
      <c r="L96" s="13"/>
      <c r="M96" s="13"/>
    </row>
    <row r="97" spans="2:13" ht="15.75">
      <c r="B97" s="146" t="s">
        <v>54</v>
      </c>
      <c r="C97" s="232">
        <f ca="1">TODAY()</f>
        <v>45992</v>
      </c>
      <c r="D97" s="135"/>
      <c r="E97" s="13"/>
      <c r="F97" s="13"/>
      <c r="G97" s="146" t="s">
        <v>54</v>
      </c>
      <c r="H97" s="232">
        <f ca="1">TODAY()</f>
        <v>45992</v>
      </c>
      <c r="I97" s="13"/>
      <c r="J97" s="13"/>
      <c r="K97" s="13"/>
      <c r="L97" s="13"/>
      <c r="M97" s="13"/>
    </row>
    <row r="98" spans="2:13" ht="15.75">
      <c r="B98" s="146" t="s">
        <v>55</v>
      </c>
      <c r="C98" s="235"/>
      <c r="D98" s="236"/>
      <c r="E98" s="236"/>
      <c r="F98" s="13"/>
      <c r="G98" s="146" t="s">
        <v>55</v>
      </c>
      <c r="H98" s="13"/>
      <c r="I98" s="13"/>
      <c r="J98" s="13"/>
      <c r="K98" s="13"/>
      <c r="L98" s="13"/>
      <c r="M98" s="13"/>
    </row>
    <row r="113" s="21" customFormat="1"/>
    <row r="114" s="21" customFormat="1"/>
    <row r="115" s="21" customFormat="1"/>
    <row r="116" s="21" customFormat="1"/>
    <row r="117" s="21" customFormat="1"/>
    <row r="118" s="21" customFormat="1"/>
    <row r="119" s="21" customFormat="1"/>
    <row r="120" s="21" customFormat="1"/>
    <row r="121" s="21" customFormat="1"/>
    <row r="122" s="21" customFormat="1"/>
    <row r="123" s="21" customFormat="1"/>
    <row r="124" s="21" customFormat="1"/>
    <row r="125" s="21" customFormat="1"/>
    <row r="126" s="21" customFormat="1"/>
    <row r="127" s="21" customFormat="1"/>
    <row r="128" s="21" customFormat="1"/>
    <row r="129" s="21" customFormat="1"/>
    <row r="130" s="21" customFormat="1"/>
    <row r="131" s="21" customFormat="1"/>
    <row r="132" s="21" customFormat="1"/>
    <row r="133" s="21" customFormat="1"/>
    <row r="134" s="21" customFormat="1"/>
    <row r="135" s="21" customFormat="1"/>
    <row r="136" s="21" customFormat="1"/>
    <row r="137" s="21" customFormat="1"/>
    <row r="138" s="21" customFormat="1"/>
    <row r="139" s="21" customFormat="1"/>
    <row r="140" s="21" customFormat="1"/>
    <row r="141" s="21" customFormat="1"/>
    <row r="142" s="21" customFormat="1"/>
    <row r="143" s="21" customFormat="1"/>
    <row r="144" s="21" customFormat="1"/>
    <row r="145" s="21" customFormat="1"/>
    <row r="146" s="21" customFormat="1"/>
    <row r="147" s="21" customFormat="1"/>
    <row r="148" s="21" customFormat="1"/>
    <row r="149" s="21" customFormat="1"/>
    <row r="150" s="21" customFormat="1"/>
    <row r="151" s="21" customFormat="1"/>
    <row r="152" s="21" customFormat="1"/>
    <row r="153" s="21" customFormat="1"/>
    <row r="154" s="21" customFormat="1"/>
    <row r="155" s="21" customFormat="1"/>
    <row r="156" s="21" customFormat="1"/>
    <row r="157" s="21" customFormat="1"/>
    <row r="158" s="21" customFormat="1"/>
    <row r="159" s="21" customFormat="1"/>
    <row r="160" s="21" customFormat="1"/>
    <row r="161" s="21" customFormat="1"/>
    <row r="162" s="21" customFormat="1"/>
    <row r="163" s="21" customFormat="1"/>
    <row r="164" s="21" customFormat="1"/>
    <row r="165" s="21" customFormat="1"/>
    <row r="166" s="21" customFormat="1"/>
    <row r="167" s="21" customFormat="1"/>
    <row r="168" s="21" customFormat="1"/>
    <row r="169" s="21" customFormat="1"/>
    <row r="170" s="21" customFormat="1"/>
    <row r="171" s="21" customFormat="1"/>
    <row r="172" s="21" customFormat="1"/>
    <row r="173" s="21" customFormat="1"/>
    <row r="174" s="21" customFormat="1"/>
    <row r="175" s="21" customFormat="1"/>
    <row r="176" s="21" customFormat="1"/>
    <row r="177" s="21" customFormat="1"/>
    <row r="178" s="21" customFormat="1"/>
    <row r="179" s="21" customFormat="1"/>
    <row r="180" s="21" customFormat="1"/>
    <row r="181" s="21" customFormat="1"/>
    <row r="182" s="21" customFormat="1"/>
    <row r="183" s="21" customFormat="1"/>
    <row r="184" s="21" customFormat="1"/>
    <row r="185" s="21" customFormat="1"/>
    <row r="186" s="21" customFormat="1"/>
    <row r="187" s="21" customFormat="1"/>
    <row r="188" s="21" customFormat="1"/>
    <row r="189" s="21" customFormat="1"/>
    <row r="190" s="21" customFormat="1"/>
    <row r="191" s="21" customFormat="1"/>
    <row r="192" s="21" customFormat="1"/>
  </sheetData>
  <mergeCells count="4">
    <mergeCell ref="G10:I10"/>
    <mergeCell ref="G14:I14"/>
    <mergeCell ref="H58:I58"/>
    <mergeCell ref="B78:N80"/>
  </mergeCells>
  <conditionalFormatting sqref="J62:K62">
    <cfRule type="expression" dxfId="17" priority="8">
      <formula>$J62="Falta indicar el ratio volumétrico"</formula>
    </cfRule>
  </conditionalFormatting>
  <conditionalFormatting sqref="J63:K63">
    <cfRule type="expression" dxfId="16" priority="7">
      <formula>$J63="Falta indicar el ratio volumétrico"</formula>
    </cfRule>
  </conditionalFormatting>
  <conditionalFormatting sqref="J64:K65">
    <cfRule type="expression" dxfId="15" priority="6">
      <formula>$J64="Falta indicar el ratio volumétrico"</formula>
    </cfRule>
  </conditionalFormatting>
  <conditionalFormatting sqref="G70:J70">
    <cfRule type="expression" dxfId="14" priority="5">
      <formula>$G$70="Falta indicar el número de envíos/mes"</formula>
    </cfRule>
  </conditionalFormatting>
  <conditionalFormatting sqref="G70">
    <cfRule type="expression" dxfId="13" priority="4">
      <formula>#REF!="Falta indicar el número de envíos/mes"</formula>
    </cfRule>
  </conditionalFormatting>
  <conditionalFormatting sqref="G71:J71">
    <cfRule type="expression" dxfId="12" priority="3">
      <formula>$G$71="Falta indicar la facturación/mes"</formula>
    </cfRule>
  </conditionalFormatting>
  <conditionalFormatting sqref="F52">
    <cfRule type="cellIs" dxfId="11" priority="2" operator="equal">
      <formula>""</formula>
    </cfRule>
  </conditionalFormatting>
  <conditionalFormatting sqref="D75:G75">
    <cfRule type="expression" dxfId="10" priority="1">
      <formula>$D$75="Falta indicar la fecha de inicio de validez de la tarifa"</formula>
    </cfRule>
  </conditionalFormatting>
  <dataValidations count="1">
    <dataValidation type="whole" allowBlank="1" showInputMessage="1" showErrorMessage="1" sqref="E70" xr:uid="{E8557F17-B388-48B8-B94C-0A1BE2D1DBEF}">
      <formula1>1</formula1>
      <formula2>999999</formula2>
    </dataValidation>
  </dataValidations>
  <printOptions horizontalCentered="1"/>
  <pageMargins left="0.51181102362204722" right="0.43307086614173229" top="0.51181102362204722" bottom="0.74803149606299213" header="0.51181102362204722" footer="0.51181102362204722"/>
  <pageSetup paperSize="9" scale="45" fitToWidth="2" orientation="portrait" r:id="rId1"/>
  <headerFooter>
    <oddFooter>&amp;C&amp;"Calibri,Regular"Página &amp;P de &amp;N</oddFooter>
  </headerFooter>
  <colBreaks count="2" manualBreakCount="2">
    <brk id="16" max="97" man="1"/>
    <brk id="26" max="90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05AAF-202E-4EF2-9B25-E51C5958320D}">
  <sheetPr codeName="Hoja17">
    <tabColor indexed="51"/>
    <pageSetUpPr autoPageBreaks="0"/>
  </sheetPr>
  <dimension ref="A1:W67"/>
  <sheetViews>
    <sheetView showGridLines="0" showRowColHeaders="0" zoomScaleNormal="100" zoomScaleSheetLayoutView="40" workbookViewId="0"/>
  </sheetViews>
  <sheetFormatPr defaultColWidth="11.42578125" defaultRowHeight="12.75"/>
  <cols>
    <col min="1" max="1" width="3.85546875" style="21" customWidth="1"/>
    <col min="2" max="2" width="21.140625" style="21" customWidth="1"/>
    <col min="3" max="4" width="19.42578125" style="21" customWidth="1"/>
    <col min="5" max="5" width="12.5703125" style="21" customWidth="1"/>
    <col min="6" max="6" width="12.85546875" style="21" customWidth="1"/>
    <col min="7" max="7" width="10.42578125" style="21" customWidth="1"/>
    <col min="8" max="8" width="6" style="21" customWidth="1"/>
    <col min="9" max="9" width="11.42578125" style="21" customWidth="1"/>
    <col min="10" max="10" width="9.85546875" style="21" customWidth="1"/>
    <col min="11" max="11" width="10" style="21" customWidth="1"/>
    <col min="12" max="13" width="11.42578125" style="21" customWidth="1"/>
    <col min="14" max="14" width="14.140625" style="21" customWidth="1"/>
    <col min="15" max="17" width="11.42578125" style="21"/>
    <col min="18" max="18" width="6" style="21" customWidth="1"/>
    <col min="19" max="22" width="11.42578125" style="21"/>
    <col min="23" max="23" width="5.28515625" style="21" customWidth="1"/>
    <col min="24" max="16384" width="11.42578125" style="21"/>
  </cols>
  <sheetData>
    <row r="1" spans="1:23" ht="67.5" customHeight="1">
      <c r="B1" s="263" t="s">
        <v>16</v>
      </c>
      <c r="C1" s="263"/>
      <c r="D1" s="263"/>
      <c r="E1" s="263"/>
      <c r="F1" s="263"/>
      <c r="G1" s="263"/>
      <c r="H1" s="31"/>
      <c r="I1" s="31"/>
      <c r="J1" s="31"/>
      <c r="K1" s="263" t="s">
        <v>16</v>
      </c>
      <c r="L1" s="263"/>
      <c r="M1" s="263"/>
      <c r="N1" s="263"/>
      <c r="O1" s="263"/>
      <c r="P1" s="263"/>
      <c r="Q1" s="263"/>
      <c r="R1" s="32"/>
      <c r="S1" s="32"/>
      <c r="T1" s="32"/>
      <c r="U1" s="32"/>
      <c r="V1" s="32"/>
    </row>
    <row r="2" spans="1:23" ht="28.5" customHeight="1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5"/>
    </row>
    <row r="3" spans="1:23" ht="13.5" thickTop="1"/>
    <row r="4" spans="1:23" ht="18.75" customHeight="1" thickBot="1">
      <c r="B4" s="36" t="s">
        <v>17</v>
      </c>
      <c r="C4" s="37"/>
      <c r="D4" s="37" t="s">
        <v>18</v>
      </c>
      <c r="E4" s="37"/>
      <c r="F4" s="38"/>
      <c r="G4" s="38"/>
      <c r="H4" s="38"/>
      <c r="I4" s="38"/>
      <c r="J4" s="38"/>
      <c r="K4" s="36" t="s">
        <v>19</v>
      </c>
      <c r="L4" s="37"/>
      <c r="M4" s="37"/>
      <c r="N4" s="37" t="s">
        <v>18</v>
      </c>
      <c r="O4" s="37"/>
      <c r="P4" s="38"/>
      <c r="Q4" s="38"/>
      <c r="R4" s="38"/>
      <c r="S4" s="38"/>
      <c r="T4" s="38"/>
      <c r="U4" s="38"/>
      <c r="V4" s="38"/>
      <c r="W4" s="39"/>
    </row>
    <row r="5" spans="1:23" ht="21">
      <c r="B5" s="243"/>
      <c r="C5" s="244"/>
      <c r="D5" s="244"/>
      <c r="E5" s="245"/>
      <c r="F5" s="246"/>
    </row>
    <row r="6" spans="1:23" ht="35.25">
      <c r="B6" s="40" t="s">
        <v>20</v>
      </c>
      <c r="C6" s="40" t="s">
        <v>21</v>
      </c>
      <c r="D6" s="40" t="s">
        <v>22</v>
      </c>
      <c r="E6" s="40" t="s">
        <v>23</v>
      </c>
      <c r="F6" s="40" t="s">
        <v>24</v>
      </c>
    </row>
    <row r="7" spans="1:23">
      <c r="B7" s="41">
        <v>5</v>
      </c>
      <c r="C7" s="42">
        <v>126.02</v>
      </c>
      <c r="D7" s="42">
        <v>53.48</v>
      </c>
      <c r="E7" s="42">
        <v>11.12</v>
      </c>
      <c r="F7" s="42">
        <v>24.81</v>
      </c>
    </row>
    <row r="8" spans="1:23">
      <c r="B8" s="43">
        <v>10</v>
      </c>
      <c r="C8" s="44">
        <v>131.66</v>
      </c>
      <c r="D8" s="44">
        <v>57.13</v>
      </c>
      <c r="E8" s="44">
        <v>11.92</v>
      </c>
      <c r="F8" s="44">
        <v>26.12</v>
      </c>
    </row>
    <row r="9" spans="1:23">
      <c r="B9" s="43">
        <v>20</v>
      </c>
      <c r="C9" s="44">
        <v>175.82</v>
      </c>
      <c r="D9" s="44">
        <v>82.17</v>
      </c>
      <c r="E9" s="44">
        <v>14.58</v>
      </c>
      <c r="F9" s="44">
        <v>26.89</v>
      </c>
    </row>
    <row r="10" spans="1:23">
      <c r="B10" s="43">
        <v>30</v>
      </c>
      <c r="C10" s="44">
        <v>229.38</v>
      </c>
      <c r="D10" s="44">
        <v>106.48</v>
      </c>
      <c r="E10" s="44">
        <v>17.13</v>
      </c>
      <c r="F10" s="44">
        <v>29.43</v>
      </c>
      <c r="R10" s="45"/>
    </row>
    <row r="11" spans="1:23">
      <c r="B11" s="43">
        <v>40</v>
      </c>
      <c r="C11" s="44">
        <v>277.27999999999997</v>
      </c>
      <c r="D11" s="44">
        <v>129.44</v>
      </c>
      <c r="E11" s="44">
        <v>20.41</v>
      </c>
      <c r="F11" s="44">
        <v>32.31</v>
      </c>
    </row>
    <row r="12" spans="1:23">
      <c r="B12" s="43">
        <v>50</v>
      </c>
      <c r="C12" s="44">
        <v>348.21</v>
      </c>
      <c r="D12" s="44">
        <v>148.11000000000001</v>
      </c>
      <c r="E12" s="44">
        <v>23.47</v>
      </c>
      <c r="F12" s="44">
        <v>34.81</v>
      </c>
    </row>
    <row r="13" spans="1:23">
      <c r="B13" s="43">
        <v>60</v>
      </c>
      <c r="C13" s="44">
        <v>415.93</v>
      </c>
      <c r="D13" s="44">
        <v>167</v>
      </c>
      <c r="E13" s="44">
        <v>24.12</v>
      </c>
      <c r="F13" s="44">
        <v>37.450000000000003</v>
      </c>
    </row>
    <row r="14" spans="1:23">
      <c r="B14" s="43">
        <v>70</v>
      </c>
      <c r="C14" s="44">
        <v>470.16</v>
      </c>
      <c r="D14" s="44">
        <v>185.87</v>
      </c>
      <c r="E14" s="44">
        <v>27.06</v>
      </c>
      <c r="F14" s="44">
        <v>39.99</v>
      </c>
    </row>
    <row r="15" spans="1:23">
      <c r="B15" s="43">
        <v>80</v>
      </c>
      <c r="C15" s="44">
        <v>519.80999999999995</v>
      </c>
      <c r="D15" s="44">
        <v>204.83</v>
      </c>
      <c r="E15" s="44">
        <v>29.37</v>
      </c>
      <c r="F15" s="44">
        <v>42.59</v>
      </c>
    </row>
    <row r="16" spans="1:23">
      <c r="B16" s="43">
        <v>90</v>
      </c>
      <c r="C16" s="44">
        <v>574.19000000000005</v>
      </c>
      <c r="D16" s="44">
        <v>222.77</v>
      </c>
      <c r="E16" s="44">
        <v>32.880000000000003</v>
      </c>
      <c r="F16" s="44">
        <v>45.11</v>
      </c>
    </row>
    <row r="17" spans="2:6">
      <c r="B17" s="43">
        <v>100</v>
      </c>
      <c r="C17" s="44">
        <v>621.51</v>
      </c>
      <c r="D17" s="44">
        <v>242.58</v>
      </c>
      <c r="E17" s="44">
        <v>36.299999999999997</v>
      </c>
      <c r="F17" s="44">
        <v>47.7</v>
      </c>
    </row>
    <row r="18" spans="2:6">
      <c r="B18" s="43">
        <v>125</v>
      </c>
      <c r="C18" s="44">
        <v>742.22</v>
      </c>
      <c r="D18" s="44">
        <v>260.04000000000002</v>
      </c>
      <c r="E18" s="44">
        <v>40.67</v>
      </c>
      <c r="F18" s="44">
        <v>48.38</v>
      </c>
    </row>
    <row r="19" spans="2:6">
      <c r="B19" s="43">
        <v>150</v>
      </c>
      <c r="C19" s="44">
        <v>890.76</v>
      </c>
      <c r="D19" s="44">
        <v>312.06</v>
      </c>
      <c r="E19" s="44">
        <v>49.18</v>
      </c>
      <c r="F19" s="44">
        <v>58.09</v>
      </c>
    </row>
    <row r="20" spans="2:6">
      <c r="B20" s="43">
        <v>175</v>
      </c>
      <c r="C20" s="44">
        <v>1075.49</v>
      </c>
      <c r="D20" s="44">
        <v>376.73</v>
      </c>
      <c r="E20" s="44">
        <v>55.74</v>
      </c>
      <c r="F20" s="44">
        <v>70.099999999999994</v>
      </c>
    </row>
    <row r="21" spans="2:6">
      <c r="B21" s="43">
        <v>200</v>
      </c>
      <c r="C21" s="44">
        <v>1229.1600000000001</v>
      </c>
      <c r="D21" s="44">
        <v>421.57</v>
      </c>
      <c r="E21" s="44">
        <v>64.08</v>
      </c>
      <c r="F21" s="44">
        <v>80.19</v>
      </c>
    </row>
    <row r="22" spans="2:6">
      <c r="B22" s="43">
        <v>250</v>
      </c>
      <c r="C22" s="44">
        <v>1472.8</v>
      </c>
      <c r="D22" s="44">
        <v>460.36</v>
      </c>
      <c r="E22" s="44">
        <v>71.78</v>
      </c>
      <c r="F22" s="44">
        <v>90.16</v>
      </c>
    </row>
    <row r="23" spans="2:6">
      <c r="B23" s="43">
        <v>300</v>
      </c>
      <c r="C23" s="44">
        <v>1767.37</v>
      </c>
      <c r="D23" s="44">
        <v>499.1</v>
      </c>
      <c r="E23" s="44">
        <v>78.16</v>
      </c>
      <c r="F23" s="44">
        <v>108.2</v>
      </c>
    </row>
    <row r="24" spans="2:6">
      <c r="B24" s="43">
        <v>350</v>
      </c>
      <c r="C24" s="44">
        <v>2061.88</v>
      </c>
      <c r="D24" s="44">
        <v>582.29</v>
      </c>
      <c r="E24" s="44">
        <v>86.1</v>
      </c>
      <c r="F24" s="44">
        <v>126.17</v>
      </c>
    </row>
    <row r="25" spans="2:6">
      <c r="B25" s="43">
        <v>400</v>
      </c>
      <c r="C25" s="44">
        <v>2356.44</v>
      </c>
      <c r="D25" s="44">
        <v>665.37</v>
      </c>
      <c r="E25" s="44">
        <v>93.46</v>
      </c>
      <c r="F25" s="44">
        <v>144.25</v>
      </c>
    </row>
    <row r="26" spans="2:6">
      <c r="B26" s="43">
        <v>450</v>
      </c>
      <c r="C26" s="44">
        <v>2651</v>
      </c>
      <c r="D26" s="44">
        <v>748.65</v>
      </c>
      <c r="E26" s="44">
        <v>100.58</v>
      </c>
      <c r="F26" s="44">
        <v>162.26</v>
      </c>
    </row>
    <row r="27" spans="2:6">
      <c r="B27" s="43">
        <v>500</v>
      </c>
      <c r="C27" s="44">
        <v>2945.55</v>
      </c>
      <c r="D27" s="44">
        <v>831.82</v>
      </c>
      <c r="E27" s="44">
        <v>107.69</v>
      </c>
      <c r="F27" s="44">
        <v>180.32</v>
      </c>
    </row>
    <row r="28" spans="2:6">
      <c r="B28" s="43">
        <v>600</v>
      </c>
      <c r="C28" s="44">
        <v>3208.54</v>
      </c>
      <c r="D28" s="44">
        <v>909.92</v>
      </c>
      <c r="E28" s="44">
        <v>128.88999999999999</v>
      </c>
      <c r="F28" s="44">
        <v>210.08</v>
      </c>
    </row>
    <row r="29" spans="2:6">
      <c r="B29" s="43">
        <v>700</v>
      </c>
      <c r="C29" s="44">
        <v>3743.27</v>
      </c>
      <c r="D29" s="44">
        <v>1061.55</v>
      </c>
      <c r="E29" s="44">
        <v>144.9</v>
      </c>
      <c r="F29" s="44">
        <v>245.11</v>
      </c>
    </row>
    <row r="30" spans="2:6">
      <c r="B30" s="43">
        <v>800</v>
      </c>
      <c r="C30" s="44">
        <v>4278.0600000000004</v>
      </c>
      <c r="D30" s="44">
        <v>1213.18</v>
      </c>
      <c r="E30" s="44">
        <v>161.49</v>
      </c>
      <c r="F30" s="44">
        <v>280.18</v>
      </c>
    </row>
    <row r="31" spans="2:6">
      <c r="B31" s="43">
        <v>900</v>
      </c>
      <c r="C31" s="44">
        <v>4812.8599999999997</v>
      </c>
      <c r="D31" s="44">
        <v>1364.83</v>
      </c>
      <c r="E31" s="44">
        <v>178.12</v>
      </c>
      <c r="F31" s="44">
        <v>315.17</v>
      </c>
    </row>
    <row r="32" spans="2:6">
      <c r="B32" s="43">
        <v>1000</v>
      </c>
      <c r="C32" s="44">
        <v>5347.56</v>
      </c>
      <c r="D32" s="44">
        <v>1516.47</v>
      </c>
      <c r="E32" s="44">
        <v>194.37</v>
      </c>
      <c r="F32" s="44">
        <v>350.14</v>
      </c>
    </row>
    <row r="33" spans="2:12" ht="28.5" thickBot="1">
      <c r="B33" s="46" t="s">
        <v>25</v>
      </c>
      <c r="C33" s="47">
        <v>534.76</v>
      </c>
      <c r="D33" s="47">
        <v>209.96</v>
      </c>
      <c r="E33" s="47">
        <v>17.739999999999998</v>
      </c>
      <c r="F33" s="47">
        <v>35.020000000000003</v>
      </c>
    </row>
    <row r="34" spans="2:12">
      <c r="F34" s="48"/>
    </row>
    <row r="35" spans="2:12">
      <c r="B35" s="21" t="s">
        <v>26</v>
      </c>
    </row>
    <row r="36" spans="2:12">
      <c r="B36" s="21" t="s">
        <v>27</v>
      </c>
    </row>
    <row r="37" spans="2:12">
      <c r="B37" s="21" t="s">
        <v>28</v>
      </c>
      <c r="D37" s="49"/>
      <c r="E37" s="21" t="s">
        <v>29</v>
      </c>
    </row>
    <row r="38" spans="2:12">
      <c r="B38" s="238"/>
      <c r="C38" s="238"/>
      <c r="D38" s="238"/>
      <c r="E38" s="238"/>
      <c r="F38" s="238"/>
    </row>
    <row r="39" spans="2:12">
      <c r="B39" s="238" t="s">
        <v>30</v>
      </c>
      <c r="C39" s="238" t="s">
        <v>31</v>
      </c>
      <c r="D39" s="238"/>
      <c r="E39" s="247"/>
      <c r="F39" s="239"/>
      <c r="G39" s="50"/>
      <c r="H39" s="50"/>
      <c r="I39" s="50"/>
      <c r="J39" s="50"/>
    </row>
    <row r="40" spans="2:12">
      <c r="B40" s="240"/>
      <c r="C40" s="238"/>
      <c r="D40" s="238"/>
      <c r="E40" s="247"/>
      <c r="F40" s="239"/>
      <c r="G40" s="50"/>
      <c r="H40" s="50"/>
      <c r="I40" s="50"/>
      <c r="J40" s="50"/>
    </row>
    <row r="41" spans="2:12" hidden="1">
      <c r="B41" s="238"/>
      <c r="C41" s="238"/>
      <c r="D41" s="238"/>
      <c r="E41" s="247"/>
      <c r="F41" s="239"/>
      <c r="G41" s="50"/>
      <c r="H41" s="50"/>
      <c r="I41" s="50"/>
      <c r="J41" s="50"/>
    </row>
    <row r="42" spans="2:12" ht="15.75" hidden="1">
      <c r="B42" s="238"/>
      <c r="C42" s="238"/>
      <c r="D42" s="248"/>
      <c r="E42" s="238"/>
      <c r="F42" s="238"/>
    </row>
    <row r="43" spans="2:12" hidden="1">
      <c r="B43" s="238"/>
      <c r="C43" s="238"/>
      <c r="D43" s="238"/>
      <c r="E43" s="238"/>
      <c r="F43" s="238"/>
    </row>
    <row r="44" spans="2:12">
      <c r="B44" s="238" t="s">
        <v>32</v>
      </c>
      <c r="C44" s="238"/>
      <c r="D44" s="238"/>
      <c r="E44" s="238"/>
      <c r="F44" s="238"/>
    </row>
    <row r="45" spans="2:12">
      <c r="B45" s="241" t="s">
        <v>33</v>
      </c>
      <c r="C45" s="242">
        <v>46023</v>
      </c>
      <c r="D45" s="238"/>
      <c r="E45" s="238"/>
      <c r="F45" s="238"/>
      <c r="G45" s="54"/>
    </row>
    <row r="46" spans="2:12">
      <c r="B46" s="53" t="s">
        <v>34</v>
      </c>
      <c r="C46" s="55" t="s">
        <v>35</v>
      </c>
    </row>
    <row r="47" spans="2:12">
      <c r="H47" s="48" t="s">
        <v>36</v>
      </c>
      <c r="I47" s="56">
        <v>46082</v>
      </c>
    </row>
    <row r="48" spans="2:12">
      <c r="B48" s="57" t="s">
        <v>37</v>
      </c>
      <c r="C48" s="58"/>
      <c r="D48" s="58"/>
      <c r="E48" s="58"/>
      <c r="F48" s="58"/>
      <c r="G48" s="58"/>
      <c r="H48" s="58"/>
      <c r="I48" s="58"/>
      <c r="J48" s="58"/>
      <c r="K48" s="58"/>
      <c r="L48" s="58"/>
    </row>
    <row r="49" spans="2:12">
      <c r="B49" s="57" t="s">
        <v>38</v>
      </c>
      <c r="C49" s="58"/>
      <c r="D49" s="58"/>
      <c r="E49" s="58"/>
      <c r="F49" s="58"/>
      <c r="G49" s="58"/>
      <c r="H49" s="58"/>
      <c r="I49" s="58"/>
      <c r="J49" s="58"/>
      <c r="K49" s="58"/>
      <c r="L49" s="58"/>
    </row>
    <row r="50" spans="2:12">
      <c r="B50" s="57" t="s">
        <v>39</v>
      </c>
      <c r="C50" s="58"/>
      <c r="D50" s="58"/>
      <c r="E50" s="58"/>
      <c r="F50" s="58"/>
      <c r="G50" s="58"/>
      <c r="H50" s="58"/>
      <c r="I50" s="58"/>
      <c r="J50" s="58"/>
      <c r="K50" s="58"/>
      <c r="L50" s="58"/>
    </row>
    <row r="51" spans="2:12">
      <c r="B51" s="57" t="s">
        <v>40</v>
      </c>
      <c r="C51" s="58"/>
      <c r="D51" s="58"/>
      <c r="E51" s="58"/>
      <c r="F51" s="58"/>
      <c r="G51" s="58"/>
      <c r="H51" s="58"/>
      <c r="I51" s="58"/>
      <c r="J51" s="58"/>
      <c r="K51" s="58"/>
      <c r="L51" s="58"/>
    </row>
    <row r="52" spans="2:12">
      <c r="B52" s="57" t="s">
        <v>41</v>
      </c>
      <c r="C52" s="58"/>
      <c r="D52" s="58"/>
      <c r="E52" s="58"/>
      <c r="F52" s="58"/>
      <c r="G52" s="58"/>
      <c r="H52" s="58"/>
      <c r="I52" s="58"/>
      <c r="J52" s="58"/>
      <c r="K52" s="58"/>
      <c r="L52" s="58"/>
    </row>
    <row r="53" spans="2:12">
      <c r="B53" s="57" t="s">
        <v>42</v>
      </c>
      <c r="C53" s="58"/>
      <c r="D53" s="58"/>
      <c r="E53" s="58"/>
      <c r="F53" s="58"/>
      <c r="G53" s="58"/>
      <c r="H53" s="58"/>
      <c r="I53" s="58"/>
      <c r="J53" s="58"/>
      <c r="K53" s="58"/>
      <c r="L53" s="58"/>
    </row>
    <row r="54" spans="2:12">
      <c r="B54" s="57" t="s">
        <v>43</v>
      </c>
      <c r="C54" s="58"/>
      <c r="D54" s="58"/>
      <c r="E54" s="58"/>
      <c r="F54" s="58"/>
      <c r="G54" s="58"/>
      <c r="H54" s="58"/>
      <c r="I54" s="58"/>
      <c r="J54" s="58"/>
      <c r="K54" s="58"/>
      <c r="L54" s="58"/>
    </row>
    <row r="55" spans="2:12">
      <c r="B55" s="57" t="s">
        <v>44</v>
      </c>
      <c r="K55" s="59"/>
      <c r="L55" s="59"/>
    </row>
    <row r="56" spans="2:12">
      <c r="B56" s="57" t="s">
        <v>45</v>
      </c>
    </row>
    <row r="57" spans="2:12">
      <c r="B57" s="57" t="s">
        <v>46</v>
      </c>
    </row>
    <row r="58" spans="2:12">
      <c r="B58" s="57" t="s">
        <v>47</v>
      </c>
    </row>
    <row r="59" spans="2:12">
      <c r="B59" s="57" t="s">
        <v>48</v>
      </c>
    </row>
    <row r="60" spans="2:12">
      <c r="B60" s="57" t="s">
        <v>49</v>
      </c>
    </row>
    <row r="62" spans="2:12" ht="13.5" thickBot="1">
      <c r="B62" s="60" t="s">
        <v>50</v>
      </c>
      <c r="C62" s="61"/>
      <c r="D62" s="61"/>
      <c r="E62" s="61"/>
      <c r="F62" s="61"/>
      <c r="G62" s="61"/>
      <c r="H62" s="61"/>
      <c r="I62" s="61"/>
      <c r="J62" s="61"/>
    </row>
    <row r="63" spans="2:12">
      <c r="B63" s="62" t="s">
        <v>51</v>
      </c>
      <c r="C63" s="62"/>
      <c r="D63" s="62"/>
      <c r="E63" s="63"/>
      <c r="F63" s="62" t="s">
        <v>52</v>
      </c>
      <c r="G63" s="63"/>
      <c r="H63" s="63"/>
      <c r="I63" s="63"/>
      <c r="J63" s="63"/>
    </row>
    <row r="64" spans="2:12">
      <c r="B64" s="12"/>
      <c r="F64" s="12"/>
      <c r="H64" s="58"/>
    </row>
    <row r="65" spans="2:8">
      <c r="B65" s="12" t="s">
        <v>53</v>
      </c>
      <c r="C65" s="64"/>
      <c r="F65" s="12" t="s">
        <v>53</v>
      </c>
      <c r="G65" s="64"/>
      <c r="H65" s="58"/>
    </row>
    <row r="66" spans="2:8">
      <c r="B66" s="12" t="s">
        <v>54</v>
      </c>
      <c r="C66" s="65">
        <v>45992</v>
      </c>
      <c r="D66" s="12"/>
      <c r="F66" s="12" t="s">
        <v>54</v>
      </c>
      <c r="G66" s="65">
        <v>45992</v>
      </c>
      <c r="H66" s="58"/>
    </row>
    <row r="67" spans="2:8">
      <c r="B67" s="12" t="s">
        <v>55</v>
      </c>
      <c r="C67" s="66"/>
      <c r="D67" s="67"/>
      <c r="E67" s="67"/>
      <c r="F67" s="12" t="s">
        <v>55</v>
      </c>
      <c r="G67" s="64"/>
      <c r="H67" s="58"/>
    </row>
  </sheetData>
  <sheetProtection algorithmName="SHA-512" hashValue="eX3A8HrV3PmBjX+WH1b1w9ICoBv63XeuR0OFt5VsONK713XNCF8OqvsKBm5hUtoHJs50uPRvIc+YIXFktOdwuA==" saltValue="2H7BOtaAdREcaTbgTYV7iA==" spinCount="100000" sheet="1" objects="1" scenarios="1"/>
  <mergeCells count="2">
    <mergeCell ref="B1:G1"/>
    <mergeCell ref="K1:Q1"/>
  </mergeCells>
  <conditionalFormatting sqref="D42:E42">
    <cfRule type="expression" dxfId="9" priority="4">
      <formula>$D$42="Falta indicar la fecha de validez"</formula>
    </cfRule>
  </conditionalFormatting>
  <conditionalFormatting sqref="F37:J37">
    <cfRule type="expression" dxfId="8" priority="3">
      <formula>$F$37="Falta indicar el número de envíos/mes"</formula>
    </cfRule>
  </conditionalFormatting>
  <conditionalFormatting sqref="B42 E40:J41">
    <cfRule type="expression" dxfId="7" priority="2">
      <formula>$G$39=99999</formula>
    </cfRule>
  </conditionalFormatting>
  <conditionalFormatting sqref="B40">
    <cfRule type="expression" dxfId="6" priority="1">
      <formula>$G$39=99999</formula>
    </cfRule>
  </conditionalFormatting>
  <dataValidations count="3">
    <dataValidation allowBlank="1" showInputMessage="1" showErrorMessage="1" prompt="Obligatorio indicar fecha de inicio de validez de la tarifa" sqref="C45" xr:uid="{BA9B3C00-45DD-4240-AFFE-B94381A99232}"/>
    <dataValidation type="whole" allowBlank="1" showInputMessage="1" showErrorMessage="1" error="Obligatorio indicar el ratio volumétrico negociado" sqref="E39" xr:uid="{995205EF-9C2C-4B98-9187-AD9FD885759F}">
      <formula1>1</formula1>
      <formula2>250</formula2>
    </dataValidation>
    <dataValidation type="whole" showInputMessage="1" showErrorMessage="1" error="Obligatorio indicar el nº de env/mes comprometido" prompt="Obligatorio indicar el nº env/mes" sqref="D37" xr:uid="{380EF0BF-F008-4687-9F8D-D4E534639993}">
      <formula1>1</formula1>
      <formula2>99999</formula2>
    </dataValidation>
  </dataValidations>
  <printOptions horizontalCentered="1"/>
  <pageMargins left="0.39370078740157483" right="0.39370078740157483" top="0.55118110236220474" bottom="0.51181102362204722" header="0" footer="0"/>
  <pageSetup paperSize="9" scale="69" fitToWidth="2" orientation="portrait" horizontalDpi="1200" verticalDpi="1200" r:id="rId1"/>
  <headerFooter alignWithMargins="0">
    <oddFooter>&amp;C&amp;"Calibri,Regular"Página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4E1E-836C-4FBA-8333-4E7C07250EA2}">
  <sheetPr codeName="Sheet9">
    <tabColor rgb="FFFFCC00"/>
    <pageSetUpPr fitToPage="1"/>
  </sheetPr>
  <dimension ref="A1:AA113"/>
  <sheetViews>
    <sheetView showGridLines="0" showRowColHeaders="0" topLeftCell="A22" zoomScale="85" zoomScaleNormal="85" workbookViewId="0">
      <selection activeCell="D34" sqref="D34"/>
    </sheetView>
  </sheetViews>
  <sheetFormatPr defaultColWidth="0" defaultRowHeight="31.5"/>
  <cols>
    <col min="1" max="1" width="6.5703125" style="113" customWidth="1"/>
    <col min="2" max="2" width="41.5703125" style="112" customWidth="1"/>
    <col min="3" max="3" width="3.42578125" style="112" customWidth="1"/>
    <col min="4" max="4" width="78.42578125" style="112" customWidth="1"/>
    <col min="5" max="5" width="40.28515625" style="111" customWidth="1"/>
    <col min="6" max="6" width="9" style="70" hidden="1" customWidth="1"/>
    <col min="7" max="16384" width="9.140625" style="70" hidden="1"/>
  </cols>
  <sheetData>
    <row r="1" spans="1:27">
      <c r="A1" s="32" t="s">
        <v>56</v>
      </c>
      <c r="B1" s="68"/>
      <c r="C1" s="68"/>
      <c r="D1" s="69"/>
      <c r="E1" s="69"/>
    </row>
    <row r="2" spans="1:27" ht="9.75" customHeight="1">
      <c r="A2" s="69"/>
      <c r="B2" s="69"/>
      <c r="C2" s="69"/>
      <c r="D2" s="69"/>
      <c r="E2" s="69"/>
    </row>
    <row r="3" spans="1:27" s="72" customFormat="1" ht="25.5" customHeight="1">
      <c r="A3" s="71" t="s">
        <v>57</v>
      </c>
      <c r="B3" s="71"/>
      <c r="C3" s="71"/>
      <c r="D3" s="71"/>
      <c r="E3" s="71"/>
    </row>
    <row r="4" spans="1:27">
      <c r="A4" s="73"/>
      <c r="B4" s="73"/>
      <c r="C4" s="73"/>
      <c r="D4" s="73"/>
      <c r="E4" s="73"/>
    </row>
    <row r="5" spans="1:27" ht="26.25" customHeight="1">
      <c r="A5" s="74"/>
      <c r="B5" s="74"/>
      <c r="C5" s="74"/>
      <c r="D5" s="74"/>
      <c r="E5" s="75"/>
    </row>
    <row r="6" spans="1:27" ht="26.25" customHeight="1">
      <c r="A6" s="74"/>
      <c r="B6" s="74"/>
      <c r="C6" s="74"/>
      <c r="D6" s="74"/>
      <c r="E6" s="75"/>
    </row>
    <row r="7" spans="1:27" s="72" customFormat="1" ht="28.5">
      <c r="A7" s="76"/>
      <c r="B7" s="76" t="s">
        <v>58</v>
      </c>
      <c r="C7" s="77"/>
      <c r="D7" s="78"/>
      <c r="E7" s="78"/>
    </row>
    <row r="8" spans="1:27" s="80" customFormat="1" ht="32.25" customHeight="1">
      <c r="A8" s="264" t="s">
        <v>59</v>
      </c>
      <c r="B8" s="264"/>
      <c r="C8" s="79"/>
      <c r="D8" s="79" t="s">
        <v>60</v>
      </c>
      <c r="E8" s="79" t="s">
        <v>61</v>
      </c>
    </row>
    <row r="9" spans="1:27" ht="36" customHeight="1" thickBot="1">
      <c r="A9" s="81"/>
      <c r="B9" s="265" t="s">
        <v>62</v>
      </c>
      <c r="C9" s="82"/>
      <c r="D9" s="266" t="s">
        <v>63</v>
      </c>
      <c r="E9" s="83" t="s">
        <v>64</v>
      </c>
      <c r="AA9" s="70" t="s">
        <v>64</v>
      </c>
    </row>
    <row r="10" spans="1:27" ht="36" customHeight="1" thickBot="1">
      <c r="A10" s="81"/>
      <c r="B10" s="265"/>
      <c r="C10" s="82"/>
      <c r="D10" s="266"/>
      <c r="E10" s="83" t="s">
        <v>65</v>
      </c>
      <c r="AA10" s="70" t="s">
        <v>65</v>
      </c>
    </row>
    <row r="11" spans="1:27" ht="36" customHeight="1" thickBot="1">
      <c r="A11" s="81"/>
      <c r="B11" s="265"/>
      <c r="C11" s="82"/>
      <c r="D11" s="266"/>
      <c r="E11" s="83" t="s">
        <v>66</v>
      </c>
      <c r="AA11" s="70" t="s">
        <v>66</v>
      </c>
    </row>
    <row r="12" spans="1:27" ht="36" customHeight="1" thickBot="1">
      <c r="A12" s="81"/>
      <c r="B12" s="267" t="s">
        <v>67</v>
      </c>
      <c r="C12" s="84"/>
      <c r="D12" s="85" t="s">
        <v>68</v>
      </c>
      <c r="E12" s="86">
        <v>23.5</v>
      </c>
      <c r="AA12" s="70">
        <v>23.5</v>
      </c>
    </row>
    <row r="13" spans="1:27" ht="36" customHeight="1" thickBot="1">
      <c r="A13" s="81"/>
      <c r="B13" s="266"/>
      <c r="C13" s="84"/>
      <c r="D13" s="85" t="s">
        <v>69</v>
      </c>
      <c r="E13" s="87">
        <v>23.5</v>
      </c>
      <c r="AA13" s="70">
        <v>23.5</v>
      </c>
    </row>
    <row r="14" spans="1:27" ht="36" customHeight="1" thickBot="1">
      <c r="A14" s="81"/>
      <c r="B14" s="268"/>
      <c r="C14" s="88"/>
      <c r="D14" s="89" t="s">
        <v>70</v>
      </c>
      <c r="E14" s="90">
        <v>5</v>
      </c>
      <c r="AA14" s="70">
        <v>5</v>
      </c>
    </row>
    <row r="15" spans="1:27" ht="36" customHeight="1" thickBot="1">
      <c r="A15" s="81"/>
      <c r="B15" s="82" t="s">
        <v>71</v>
      </c>
      <c r="C15" s="82"/>
      <c r="D15" s="89" t="s">
        <v>72</v>
      </c>
      <c r="E15" s="90">
        <v>18</v>
      </c>
      <c r="AA15" s="70">
        <v>18</v>
      </c>
    </row>
    <row r="16" spans="1:27" ht="24" customHeight="1" thickBot="1">
      <c r="A16" s="81"/>
      <c r="B16" s="269" t="s">
        <v>73</v>
      </c>
      <c r="C16" s="91"/>
      <c r="D16" s="267" t="s">
        <v>74</v>
      </c>
      <c r="E16" s="92" t="s">
        <v>75</v>
      </c>
      <c r="AA16" s="70" t="s">
        <v>75</v>
      </c>
    </row>
    <row r="17" spans="1:27" ht="24" customHeight="1" thickBot="1">
      <c r="A17" s="81"/>
      <c r="B17" s="270"/>
      <c r="C17" s="93"/>
      <c r="D17" s="266"/>
      <c r="E17" s="94" t="s">
        <v>76</v>
      </c>
      <c r="AA17" s="70" t="s">
        <v>76</v>
      </c>
    </row>
    <row r="18" spans="1:27" ht="24" customHeight="1" thickBot="1">
      <c r="A18" s="81"/>
      <c r="B18" s="270"/>
      <c r="C18" s="93"/>
      <c r="D18" s="266"/>
      <c r="E18" s="95" t="s">
        <v>77</v>
      </c>
      <c r="AA18" s="70" t="s">
        <v>77</v>
      </c>
    </row>
    <row r="19" spans="1:27" ht="24" customHeight="1" thickBot="1">
      <c r="A19" s="81"/>
      <c r="B19" s="271"/>
      <c r="C19" s="96"/>
      <c r="D19" s="268"/>
      <c r="E19" s="95" t="s">
        <v>78</v>
      </c>
      <c r="AA19" s="70" t="s">
        <v>78</v>
      </c>
    </row>
    <row r="20" spans="1:27" ht="36" customHeight="1" thickBot="1">
      <c r="A20" s="81"/>
      <c r="B20" s="88" t="s">
        <v>79</v>
      </c>
      <c r="C20" s="84"/>
      <c r="D20" s="89" t="s">
        <v>80</v>
      </c>
      <c r="E20" s="86">
        <v>3.5</v>
      </c>
      <c r="AA20" s="70">
        <v>3.5</v>
      </c>
    </row>
    <row r="21" spans="1:27" ht="36" customHeight="1" thickBot="1">
      <c r="A21" s="81"/>
      <c r="B21" s="82" t="s">
        <v>81</v>
      </c>
      <c r="C21" s="84"/>
      <c r="D21" s="89" t="s">
        <v>82</v>
      </c>
      <c r="E21" s="87" t="s">
        <v>83</v>
      </c>
      <c r="AA21" s="70" t="s">
        <v>83</v>
      </c>
    </row>
    <row r="22" spans="1:27" ht="36" customHeight="1" thickBot="1">
      <c r="A22" s="81"/>
      <c r="B22" s="84" t="s">
        <v>84</v>
      </c>
      <c r="C22" s="84"/>
      <c r="D22" s="89" t="s">
        <v>85</v>
      </c>
      <c r="E22" s="86" t="s">
        <v>86</v>
      </c>
      <c r="AA22" s="70" t="s">
        <v>86</v>
      </c>
    </row>
    <row r="23" spans="1:27" ht="36" customHeight="1" thickBot="1">
      <c r="A23" s="81"/>
      <c r="B23" s="84" t="s">
        <v>87</v>
      </c>
      <c r="C23" s="84"/>
      <c r="D23" s="89" t="s">
        <v>88</v>
      </c>
      <c r="E23" s="86">
        <v>1.5</v>
      </c>
      <c r="AA23" s="70">
        <v>1.5</v>
      </c>
    </row>
    <row r="24" spans="1:27" ht="48" customHeight="1" thickBot="1">
      <c r="A24" s="81"/>
      <c r="B24" s="84" t="s">
        <v>89</v>
      </c>
      <c r="C24" s="84"/>
      <c r="D24" s="89" t="s">
        <v>90</v>
      </c>
      <c r="E24" s="86" t="s">
        <v>91</v>
      </c>
      <c r="AA24" s="97" t="s">
        <v>91</v>
      </c>
    </row>
    <row r="25" spans="1:27" ht="15">
      <c r="A25" s="81"/>
      <c r="B25" s="98"/>
      <c r="C25" s="98"/>
      <c r="D25" s="99"/>
      <c r="E25" s="100"/>
    </row>
    <row r="26" spans="1:27" s="72" customFormat="1" ht="28.5">
      <c r="A26" s="76"/>
      <c r="B26" s="76" t="s">
        <v>92</v>
      </c>
      <c r="C26" s="77"/>
      <c r="D26" s="78"/>
      <c r="E26" s="78"/>
    </row>
    <row r="27" spans="1:27" s="80" customFormat="1" ht="32.25" customHeight="1">
      <c r="A27" s="264" t="s">
        <v>93</v>
      </c>
      <c r="B27" s="264"/>
      <c r="C27" s="79"/>
      <c r="D27" s="79" t="s">
        <v>60</v>
      </c>
      <c r="E27" s="79" t="str">
        <f>E8</f>
        <v>Precios 2026</v>
      </c>
      <c r="AA27" s="80" t="s">
        <v>94</v>
      </c>
    </row>
    <row r="28" spans="1:27" ht="36" customHeight="1" thickBot="1">
      <c r="A28" s="81"/>
      <c r="B28" s="101" t="s">
        <v>95</v>
      </c>
      <c r="C28" s="82"/>
      <c r="D28" s="96" t="s">
        <v>96</v>
      </c>
      <c r="E28" s="102" t="s">
        <v>195</v>
      </c>
      <c r="AA28" s="70" t="s">
        <v>97</v>
      </c>
    </row>
    <row r="29" spans="1:27" ht="37.5" customHeight="1" thickBot="1">
      <c r="A29" s="81"/>
      <c r="B29" s="88" t="s">
        <v>98</v>
      </c>
      <c r="C29" s="103"/>
      <c r="D29" s="85" t="s">
        <v>99</v>
      </c>
      <c r="E29" s="104" t="s">
        <v>100</v>
      </c>
      <c r="AA29" s="70" t="s">
        <v>100</v>
      </c>
    </row>
    <row r="30" spans="1:27" ht="48" customHeight="1" thickBot="1">
      <c r="A30" s="81"/>
      <c r="B30" s="101" t="s">
        <v>101</v>
      </c>
      <c r="C30" s="105"/>
      <c r="D30" s="85" t="s">
        <v>102</v>
      </c>
      <c r="E30" s="106" t="s">
        <v>103</v>
      </c>
      <c r="AA30" s="70" t="s">
        <v>103</v>
      </c>
    </row>
    <row r="31" spans="1:27" ht="37.5" customHeight="1" thickBot="1">
      <c r="A31" s="81"/>
      <c r="B31" s="101" t="s">
        <v>104</v>
      </c>
      <c r="C31" s="105"/>
      <c r="D31" s="85" t="s">
        <v>105</v>
      </c>
      <c r="E31" s="106" t="s">
        <v>103</v>
      </c>
      <c r="AA31" s="70" t="s">
        <v>103</v>
      </c>
    </row>
    <row r="32" spans="1:27" ht="27.75" customHeight="1" thickBot="1">
      <c r="A32" s="81"/>
      <c r="B32" s="82" t="s">
        <v>106</v>
      </c>
      <c r="C32" s="107"/>
      <c r="D32" s="89" t="s">
        <v>107</v>
      </c>
      <c r="E32" s="86" t="s">
        <v>91</v>
      </c>
      <c r="AA32" s="70" t="s">
        <v>91</v>
      </c>
    </row>
    <row r="33" spans="1:27" ht="36" customHeight="1" thickBot="1">
      <c r="A33" s="81"/>
      <c r="B33" s="84" t="s">
        <v>108</v>
      </c>
      <c r="C33" s="84"/>
      <c r="D33" s="89" t="s">
        <v>109</v>
      </c>
      <c r="E33" s="86" t="s">
        <v>110</v>
      </c>
      <c r="AA33" s="70" t="s">
        <v>110</v>
      </c>
    </row>
    <row r="34" spans="1:27" ht="36" customHeight="1" thickBot="1">
      <c r="A34" s="81"/>
      <c r="B34" s="84" t="s">
        <v>111</v>
      </c>
      <c r="C34" s="88"/>
      <c r="D34" s="89" t="s">
        <v>112</v>
      </c>
      <c r="E34" s="86" t="s">
        <v>113</v>
      </c>
      <c r="AA34" s="108" t="s">
        <v>113</v>
      </c>
    </row>
    <row r="35" spans="1:27" ht="36" customHeight="1" thickBot="1">
      <c r="A35" s="81"/>
      <c r="B35" s="84" t="s">
        <v>114</v>
      </c>
      <c r="C35" s="88"/>
      <c r="D35" s="89" t="s">
        <v>115</v>
      </c>
      <c r="E35" s="86" t="s">
        <v>116</v>
      </c>
      <c r="AA35" s="70" t="s">
        <v>116</v>
      </c>
    </row>
    <row r="36" spans="1:27" ht="36" customHeight="1" thickBot="1">
      <c r="A36" s="81"/>
      <c r="B36" s="84" t="s">
        <v>117</v>
      </c>
      <c r="C36" s="88"/>
      <c r="D36" s="89" t="s">
        <v>118</v>
      </c>
      <c r="E36" s="86" t="s">
        <v>83</v>
      </c>
      <c r="AA36" s="70" t="s">
        <v>83</v>
      </c>
    </row>
    <row r="37" spans="1:27" ht="36" customHeight="1" thickBot="1">
      <c r="A37" s="81"/>
      <c r="B37" s="84" t="s">
        <v>119</v>
      </c>
      <c r="C37" s="88"/>
      <c r="D37" s="89" t="s">
        <v>120</v>
      </c>
      <c r="E37" s="86" t="s">
        <v>121</v>
      </c>
      <c r="AA37" s="70" t="s">
        <v>121</v>
      </c>
    </row>
    <row r="38" spans="1:27" ht="36" customHeight="1" thickBot="1">
      <c r="A38" s="81"/>
      <c r="B38" s="84" t="s">
        <v>122</v>
      </c>
      <c r="C38" s="88"/>
      <c r="D38" s="89" t="s">
        <v>123</v>
      </c>
      <c r="E38" s="86" t="s">
        <v>124</v>
      </c>
      <c r="AA38" s="70" t="s">
        <v>124</v>
      </c>
    </row>
    <row r="39" spans="1:27" ht="36" customHeight="1" thickBot="1">
      <c r="A39" s="81"/>
      <c r="B39" s="84" t="s">
        <v>125</v>
      </c>
      <c r="C39" s="82"/>
      <c r="D39" s="85" t="s">
        <v>126</v>
      </c>
      <c r="E39" s="86" t="s">
        <v>127</v>
      </c>
      <c r="AA39" s="70" t="s">
        <v>128</v>
      </c>
    </row>
    <row r="40" spans="1:27" ht="15" customHeight="1">
      <c r="A40" s="81"/>
      <c r="B40" s="98" t="s">
        <v>129</v>
      </c>
      <c r="C40" s="98"/>
      <c r="D40" s="70"/>
      <c r="E40" s="109"/>
    </row>
    <row r="41" spans="1:27" ht="15" customHeight="1">
      <c r="A41" s="100"/>
      <c r="B41" s="81" t="s">
        <v>130</v>
      </c>
      <c r="C41" s="100"/>
      <c r="D41" s="70"/>
      <c r="E41" s="100"/>
    </row>
    <row r="42" spans="1:27" ht="15" customHeight="1">
      <c r="A42" s="100"/>
      <c r="B42" s="81" t="s">
        <v>131</v>
      </c>
      <c r="C42" s="100"/>
      <c r="D42" s="70"/>
      <c r="E42" s="100"/>
    </row>
    <row r="43" spans="1:27">
      <c r="A43" s="110"/>
      <c r="B43" s="110"/>
      <c r="C43" s="110"/>
      <c r="D43" s="110"/>
      <c r="E43" s="110"/>
    </row>
    <row r="44" spans="1:27">
      <c r="A44" s="110"/>
      <c r="B44" s="110"/>
      <c r="C44" s="110"/>
      <c r="D44" s="110"/>
      <c r="E44" s="110"/>
    </row>
    <row r="45" spans="1:27">
      <c r="A45" s="110"/>
      <c r="B45" s="110"/>
      <c r="C45" s="110"/>
      <c r="D45" s="110"/>
      <c r="E45" s="110"/>
    </row>
    <row r="46" spans="1:27">
      <c r="A46" s="110"/>
      <c r="B46" s="110"/>
      <c r="C46" s="110"/>
      <c r="D46" s="110"/>
      <c r="E46" s="110"/>
    </row>
    <row r="47" spans="1:27">
      <c r="A47" s="110"/>
      <c r="B47" s="110"/>
      <c r="C47" s="110"/>
      <c r="D47" s="110"/>
      <c r="E47" s="110"/>
    </row>
    <row r="48" spans="1:27">
      <c r="A48" s="110"/>
      <c r="B48" s="110"/>
      <c r="C48" s="110"/>
      <c r="D48" s="110"/>
      <c r="E48" s="110"/>
    </row>
    <row r="49" spans="1:5">
      <c r="A49" s="110"/>
      <c r="B49" s="110"/>
      <c r="C49" s="110"/>
      <c r="D49" s="110"/>
      <c r="E49" s="110"/>
    </row>
    <row r="50" spans="1:5">
      <c r="A50" s="110"/>
      <c r="B50" s="110"/>
      <c r="C50" s="110"/>
      <c r="D50" s="110"/>
      <c r="E50" s="110"/>
    </row>
    <row r="51" spans="1:5">
      <c r="A51" s="110"/>
      <c r="B51" s="110"/>
      <c r="C51" s="110"/>
      <c r="D51" s="110"/>
      <c r="E51" s="110"/>
    </row>
    <row r="52" spans="1:5">
      <c r="A52" s="110"/>
      <c r="B52" s="110"/>
      <c r="C52" s="110"/>
      <c r="D52" s="110"/>
      <c r="E52" s="110"/>
    </row>
    <row r="53" spans="1:5">
      <c r="A53" s="110"/>
      <c r="B53" s="110"/>
      <c r="C53" s="110"/>
      <c r="D53" s="110"/>
      <c r="E53" s="110"/>
    </row>
    <row r="54" spans="1:5">
      <c r="A54" s="110"/>
      <c r="B54" s="110"/>
      <c r="C54" s="110"/>
      <c r="D54" s="110"/>
      <c r="E54" s="110"/>
    </row>
    <row r="55" spans="1:5">
      <c r="A55" s="110"/>
      <c r="B55" s="110"/>
      <c r="C55" s="110"/>
      <c r="D55" s="110"/>
      <c r="E55" s="110"/>
    </row>
    <row r="56" spans="1:5">
      <c r="A56" s="110"/>
      <c r="B56" s="110"/>
      <c r="C56" s="110"/>
      <c r="D56" s="110"/>
      <c r="E56" s="110"/>
    </row>
    <row r="57" spans="1:5">
      <c r="A57" s="110"/>
      <c r="B57" s="110"/>
      <c r="C57" s="110"/>
      <c r="D57" s="110"/>
      <c r="E57" s="110"/>
    </row>
    <row r="58" spans="1:5">
      <c r="A58" s="110"/>
      <c r="B58" s="110"/>
      <c r="C58" s="110"/>
      <c r="D58" s="110"/>
      <c r="E58" s="110"/>
    </row>
    <row r="59" spans="1:5">
      <c r="A59" s="110"/>
      <c r="B59" s="110"/>
      <c r="C59" s="110"/>
      <c r="D59" s="110"/>
      <c r="E59" s="110"/>
    </row>
    <row r="60" spans="1:5">
      <c r="A60" s="110"/>
      <c r="B60" s="110"/>
      <c r="C60" s="110"/>
      <c r="D60" s="110"/>
      <c r="E60" s="110"/>
    </row>
    <row r="61" spans="1:5">
      <c r="A61" s="110"/>
      <c r="B61" s="110"/>
      <c r="C61" s="110"/>
      <c r="D61" s="110"/>
      <c r="E61" s="110"/>
    </row>
    <row r="62" spans="1:5">
      <c r="A62" s="110"/>
      <c r="B62" s="110"/>
      <c r="C62" s="110"/>
      <c r="D62" s="110"/>
      <c r="E62" s="110"/>
    </row>
    <row r="63" spans="1:5">
      <c r="A63" s="110"/>
      <c r="B63" s="110"/>
      <c r="C63" s="110"/>
      <c r="D63" s="110"/>
      <c r="E63" s="110"/>
    </row>
    <row r="64" spans="1:5">
      <c r="A64" s="110"/>
      <c r="B64" s="110"/>
      <c r="C64" s="110"/>
      <c r="D64" s="110"/>
      <c r="E64" s="110"/>
    </row>
    <row r="65" spans="1:5">
      <c r="A65" s="110"/>
      <c r="B65" s="110"/>
      <c r="C65" s="110"/>
      <c r="D65" s="110"/>
      <c r="E65" s="110"/>
    </row>
    <row r="66" spans="1:5">
      <c r="A66" s="110"/>
      <c r="B66" s="110"/>
      <c r="C66" s="110"/>
      <c r="D66" s="110"/>
      <c r="E66" s="110"/>
    </row>
    <row r="67" spans="1:5">
      <c r="A67" s="110"/>
      <c r="B67" s="110"/>
      <c r="C67" s="110"/>
      <c r="D67" s="110"/>
      <c r="E67" s="110"/>
    </row>
    <row r="68" spans="1:5">
      <c r="A68" s="110"/>
      <c r="B68" s="110"/>
      <c r="C68" s="110"/>
      <c r="D68" s="110"/>
      <c r="E68" s="110"/>
    </row>
    <row r="69" spans="1:5">
      <c r="A69" s="110"/>
      <c r="B69" s="110"/>
      <c r="C69" s="110"/>
      <c r="D69" s="110"/>
      <c r="E69" s="110"/>
    </row>
    <row r="70" spans="1:5">
      <c r="A70" s="110"/>
      <c r="B70" s="110"/>
      <c r="C70" s="110"/>
      <c r="D70" s="110"/>
      <c r="E70" s="110"/>
    </row>
    <row r="71" spans="1:5">
      <c r="A71" s="110"/>
      <c r="B71" s="110"/>
      <c r="C71" s="110"/>
      <c r="D71" s="110"/>
      <c r="E71" s="110"/>
    </row>
    <row r="72" spans="1:5">
      <c r="A72" s="110"/>
      <c r="B72" s="110"/>
      <c r="C72" s="110"/>
      <c r="D72" s="110"/>
      <c r="E72" s="110"/>
    </row>
    <row r="73" spans="1:5">
      <c r="A73" s="110"/>
      <c r="B73" s="110"/>
      <c r="C73" s="110"/>
      <c r="D73" s="110"/>
      <c r="E73" s="110"/>
    </row>
    <row r="74" spans="1:5">
      <c r="A74" s="110"/>
      <c r="B74" s="110"/>
      <c r="C74" s="110"/>
      <c r="D74" s="110"/>
      <c r="E74" s="110"/>
    </row>
    <row r="75" spans="1:5">
      <c r="A75" s="110"/>
      <c r="B75" s="110"/>
      <c r="C75" s="110"/>
      <c r="D75" s="110"/>
      <c r="E75" s="110"/>
    </row>
    <row r="76" spans="1:5">
      <c r="A76" s="110"/>
      <c r="B76" s="110"/>
      <c r="C76" s="110"/>
      <c r="D76" s="110"/>
      <c r="E76" s="110"/>
    </row>
    <row r="77" spans="1:5">
      <c r="A77" s="110"/>
      <c r="B77" s="110"/>
      <c r="C77" s="110"/>
      <c r="D77" s="110"/>
      <c r="E77" s="110"/>
    </row>
    <row r="78" spans="1:5">
      <c r="A78" s="110"/>
      <c r="B78" s="110"/>
      <c r="C78" s="110"/>
      <c r="D78" s="110"/>
      <c r="E78" s="110"/>
    </row>
    <row r="79" spans="1:5">
      <c r="A79" s="110"/>
      <c r="B79" s="110"/>
      <c r="C79" s="110"/>
      <c r="D79" s="110"/>
      <c r="E79" s="110"/>
    </row>
    <row r="80" spans="1:5">
      <c r="A80" s="110"/>
      <c r="B80" s="110"/>
      <c r="C80" s="110"/>
      <c r="D80" s="110"/>
      <c r="E80" s="110"/>
    </row>
    <row r="81" spans="1:5">
      <c r="A81" s="110"/>
      <c r="B81" s="110"/>
      <c r="C81" s="110"/>
      <c r="D81" s="110"/>
      <c r="E81" s="110"/>
    </row>
    <row r="82" spans="1:5">
      <c r="A82" s="110"/>
      <c r="B82" s="110"/>
      <c r="C82" s="110"/>
      <c r="D82" s="110"/>
      <c r="E82" s="110"/>
    </row>
    <row r="83" spans="1:5">
      <c r="A83" s="110"/>
      <c r="B83" s="110"/>
      <c r="C83" s="110"/>
      <c r="D83" s="110"/>
      <c r="E83" s="110"/>
    </row>
    <row r="84" spans="1:5">
      <c r="A84" s="110"/>
      <c r="B84" s="110"/>
      <c r="C84" s="110"/>
      <c r="D84" s="110"/>
      <c r="E84" s="110"/>
    </row>
    <row r="85" spans="1:5">
      <c r="A85" s="110"/>
      <c r="B85" s="110"/>
      <c r="C85" s="110"/>
      <c r="D85" s="110"/>
      <c r="E85" s="110"/>
    </row>
    <row r="86" spans="1:5">
      <c r="A86" s="110"/>
      <c r="B86" s="110"/>
      <c r="C86" s="110"/>
      <c r="D86" s="110"/>
      <c r="E86" s="110"/>
    </row>
    <row r="87" spans="1:5">
      <c r="A87" s="110"/>
      <c r="B87" s="110"/>
      <c r="C87" s="110"/>
      <c r="D87" s="110"/>
      <c r="E87" s="110"/>
    </row>
    <row r="88" spans="1:5">
      <c r="A88" s="110"/>
      <c r="B88" s="110"/>
      <c r="C88" s="110"/>
      <c r="D88" s="110"/>
      <c r="E88" s="110"/>
    </row>
    <row r="89" spans="1:5">
      <c r="A89" s="110"/>
      <c r="B89" s="110"/>
      <c r="C89" s="110"/>
      <c r="D89" s="110"/>
      <c r="E89" s="110"/>
    </row>
    <row r="90" spans="1:5">
      <c r="A90" s="110"/>
      <c r="B90" s="110"/>
      <c r="C90" s="110"/>
      <c r="D90" s="110"/>
      <c r="E90" s="110"/>
    </row>
    <row r="91" spans="1:5">
      <c r="A91" s="110"/>
      <c r="B91" s="110"/>
      <c r="C91" s="110"/>
      <c r="D91" s="110"/>
      <c r="E91" s="110"/>
    </row>
    <row r="92" spans="1:5">
      <c r="A92" s="110"/>
      <c r="B92" s="110"/>
      <c r="C92" s="110"/>
      <c r="D92" s="110"/>
      <c r="E92" s="110"/>
    </row>
    <row r="93" spans="1:5">
      <c r="A93" s="110"/>
      <c r="B93" s="110"/>
      <c r="C93" s="110"/>
      <c r="D93" s="110"/>
      <c r="E93" s="110"/>
    </row>
    <row r="94" spans="1:5">
      <c r="A94" s="110"/>
      <c r="B94" s="110"/>
      <c r="C94" s="110"/>
      <c r="D94" s="110"/>
      <c r="E94" s="110"/>
    </row>
    <row r="95" spans="1:5">
      <c r="A95" s="110"/>
      <c r="B95" s="110"/>
      <c r="C95" s="110"/>
      <c r="D95" s="110"/>
      <c r="E95" s="110"/>
    </row>
    <row r="96" spans="1:5">
      <c r="A96" s="110"/>
      <c r="B96" s="110"/>
      <c r="C96" s="110"/>
      <c r="D96" s="110"/>
      <c r="E96" s="110"/>
    </row>
    <row r="97" spans="1:5">
      <c r="A97" s="110"/>
      <c r="B97" s="110"/>
      <c r="C97" s="110"/>
      <c r="D97" s="110"/>
      <c r="E97" s="110"/>
    </row>
    <row r="98" spans="1:5">
      <c r="A98" s="110"/>
      <c r="B98" s="110"/>
      <c r="C98" s="110"/>
      <c r="D98" s="110"/>
    </row>
    <row r="99" spans="1:5">
      <c r="A99" s="110"/>
      <c r="B99" s="110"/>
      <c r="C99" s="110"/>
      <c r="D99" s="110"/>
    </row>
    <row r="100" spans="1:5">
      <c r="A100" s="110"/>
      <c r="B100" s="110"/>
      <c r="C100" s="110"/>
      <c r="D100" s="110"/>
    </row>
    <row r="101" spans="1:5">
      <c r="A101" s="110"/>
      <c r="B101" s="110"/>
      <c r="C101" s="110"/>
      <c r="D101" s="110"/>
    </row>
    <row r="102" spans="1:5">
      <c r="A102" s="110"/>
      <c r="B102" s="110"/>
      <c r="C102" s="110"/>
      <c r="D102" s="110"/>
    </row>
    <row r="103" spans="1:5">
      <c r="A103" s="110"/>
      <c r="B103" s="110"/>
      <c r="C103" s="110"/>
      <c r="D103" s="110"/>
    </row>
    <row r="104" spans="1:5">
      <c r="A104" s="110"/>
      <c r="B104" s="110"/>
      <c r="C104" s="110"/>
      <c r="D104" s="110"/>
    </row>
    <row r="105" spans="1:5">
      <c r="A105" s="110"/>
      <c r="B105" s="110"/>
      <c r="C105" s="110"/>
      <c r="D105" s="110"/>
    </row>
    <row r="106" spans="1:5">
      <c r="A106" s="110"/>
      <c r="B106" s="110"/>
      <c r="C106" s="110"/>
      <c r="D106" s="110"/>
    </row>
    <row r="107" spans="1:5">
      <c r="A107" s="110"/>
      <c r="B107" s="110"/>
      <c r="C107" s="110"/>
      <c r="D107" s="110"/>
    </row>
    <row r="108" spans="1:5">
      <c r="A108" s="112"/>
      <c r="E108" s="113"/>
    </row>
    <row r="109" spans="1:5">
      <c r="A109" s="112"/>
      <c r="E109" s="113"/>
    </row>
    <row r="110" spans="1:5">
      <c r="A110" s="110"/>
      <c r="B110" s="110"/>
      <c r="C110" s="110"/>
      <c r="D110" s="110"/>
    </row>
    <row r="111" spans="1:5">
      <c r="A111" s="110"/>
      <c r="B111" s="110"/>
      <c r="C111" s="110"/>
      <c r="D111" s="110"/>
    </row>
    <row r="112" spans="1:5">
      <c r="A112" s="111"/>
      <c r="B112" s="110"/>
      <c r="C112" s="110"/>
      <c r="D112" s="110"/>
    </row>
    <row r="113" spans="1:4">
      <c r="A113" s="111"/>
      <c r="B113" s="110"/>
      <c r="C113" s="110"/>
      <c r="D113" s="110"/>
    </row>
  </sheetData>
  <mergeCells count="7">
    <mergeCell ref="A27:B27"/>
    <mergeCell ref="A8:B8"/>
    <mergeCell ref="B9:B11"/>
    <mergeCell ref="D9:D11"/>
    <mergeCell ref="B12:B14"/>
    <mergeCell ref="B16:B19"/>
    <mergeCell ref="D16:D19"/>
  </mergeCells>
  <conditionalFormatting sqref="E28:E39 E9:E24">
    <cfRule type="cellIs" dxfId="5" priority="4" operator="notEqual">
      <formula>AA9</formula>
    </cfRule>
  </conditionalFormatting>
  <conditionalFormatting sqref="E24">
    <cfRule type="cellIs" dxfId="4" priority="3" operator="notEqual">
      <formula>AA24</formula>
    </cfRule>
  </conditionalFormatting>
  <conditionalFormatting sqref="E13">
    <cfRule type="cellIs" dxfId="3" priority="2" operator="notEqual">
      <formula>AA13</formula>
    </cfRule>
  </conditionalFormatting>
  <conditionalFormatting sqref="E12">
    <cfRule type="cellIs" dxfId="2" priority="1" operator="notEqual">
      <formula>AA12</formula>
    </cfRule>
  </conditionalFormatting>
  <conditionalFormatting sqref="E32">
    <cfRule type="cellIs" dxfId="1" priority="5" operator="notEqual">
      <formula>#REF!</formula>
    </cfRule>
  </conditionalFormatting>
  <conditionalFormatting sqref="E31">
    <cfRule type="cellIs" dxfId="0" priority="6" operator="notEqual">
      <formula>#REF!</formula>
    </cfRule>
  </conditionalFormatting>
  <pageMargins left="0.70866141732283472" right="0.70866141732283472" top="0.74803149606299213" bottom="0.74803149606299213" header="0.31496062992125984" footer="0.31496062992125984"/>
  <pageSetup paperSize="9" scale="51" orientation="portrait" r:id="rId1"/>
  <headerFooter>
    <oddFooter>&amp;C&amp;10Página &amp;P de &amp;N</oddFooter>
  </headerFooter>
  <drawing r:id="rId2"/>
</worksheet>
</file>

<file path=docMetadata/LabelInfo.xml><?xml version="1.0" encoding="utf-8"?>
<clbl:labelList xmlns:clbl="http://schemas.microsoft.com/office/2020/mipLabelMetadata">
  <clbl:label id="{736915f3-2f02-4945-8997-f2963298db46}" enabled="1" method="Standard" siteId="{cd99fef8-1cd3-4a2a-9bdf-15531181d65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Portada</vt:lpstr>
      <vt:lpstr>CONDICIONES ESPECIALES</vt:lpstr>
      <vt:lpstr>Tarifa DHLParcel Europlus Islas</vt:lpstr>
      <vt:lpstr>VAS_B2BD</vt:lpstr>
      <vt:lpstr>'CONDICIONES ESPECIALES'!Print_Area</vt:lpstr>
      <vt:lpstr>Portada!Print_Area</vt:lpstr>
      <vt:lpstr>'Tarifa DHLParcel Europlus Islas'!Print_Area</vt:lpstr>
      <vt:lpstr>VAS_B2BD!Print_Area</vt:lpstr>
    </vt:vector>
  </TitlesOfParts>
  <Company>Deutsche Post DHL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Carmen Terron (DHL eCom ES)</dc:creator>
  <cp:lastModifiedBy>Carmen Terron (DHL eCom ES)</cp:lastModifiedBy>
  <dcterms:created xsi:type="dcterms:W3CDTF">2025-12-01T11:20:51Z</dcterms:created>
  <dcterms:modified xsi:type="dcterms:W3CDTF">2025-12-01T12:41:51Z</dcterms:modified>
</cp:coreProperties>
</file>